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rispettivi" state="visible" r:id="rId4"/>
    <sheet sheetId="2" name="Acquisti" state="visible" r:id="rId5"/>
    <sheet sheetId="3" name="Banca" state="visible" r:id="rId6"/>
    <sheet sheetId="4" name="Liquidazione IVA" state="visible" r:id="rId7"/>
    <sheet sheetId="5" name="Da chiarire" state="visible" r:id="rId8"/>
    <sheet sheetId="6" name="Prima Nota (Master)" state="visible" r:id="rId9"/>
    <sheet sheetId="7" name="Dettaglio Gateway Stripe" state="visible" r:id="rId10"/>
    <sheet sheetId="8" name="Dettaglio Gateway PayPal" state="visible" r:id="rId11"/>
    <sheet sheetId="9" name="Quadratura" state="visible" r:id="rId12"/>
  </sheets>
  <calcPr calcId="171027"/>
</workbook>
</file>

<file path=xl/sharedStrings.xml><?xml version="1.0" encoding="utf-8"?>
<sst xmlns="http://schemas.openxmlformats.org/spreadsheetml/2006/main" count="1511" uniqueCount="508">
  <si>
    <t>Data</t>
  </si>
  <si>
    <t>Canale</t>
  </si>
  <si>
    <t>Riferimento transazione</t>
  </si>
  <si>
    <t>Numero ordine</t>
  </si>
  <si>
    <t>Importo lordo incassato EUR</t>
  </si>
  <si>
    <t>Aliquota %</t>
  </si>
  <si>
    <t>Stato aliquota</t>
  </si>
  <si>
    <t>Imponibile EUR</t>
  </si>
  <si>
    <t>IVA EUR</t>
  </si>
  <si>
    <t>2026-01-13</t>
  </si>
  <si>
    <t>PayPal</t>
  </si>
  <si>
    <t>1RX76371GK653614X</t>
  </si>
  <si>
    <t/>
  </si>
  <si>
    <t>mancante</t>
  </si>
  <si>
    <t>2026-01-16</t>
  </si>
  <si>
    <t>66C04847WL650301D</t>
  </si>
  <si>
    <t>2026-01-20</t>
  </si>
  <si>
    <t>Stripe</t>
  </si>
  <si>
    <t>ch_3Src7YRrkwwcYwep0jrAiVTa</t>
  </si>
  <si>
    <t>presunta</t>
  </si>
  <si>
    <t>2026-01-21</t>
  </si>
  <si>
    <t>22E30531F99808504</t>
  </si>
  <si>
    <t>2026-01-22</t>
  </si>
  <si>
    <t>8YH43677SS377553L</t>
  </si>
  <si>
    <t>ch_3SsPVeRrkwwcYwep18ol6Ovs</t>
  </si>
  <si>
    <t>2026-02-09</t>
  </si>
  <si>
    <t>44E519039S467634K</t>
  </si>
  <si>
    <t>2026-02-12</t>
  </si>
  <si>
    <t>10L73398F49365903</t>
  </si>
  <si>
    <t>2026-02-16</t>
  </si>
  <si>
    <t>2GU64478W4726692S</t>
  </si>
  <si>
    <t>2026-02-17</t>
  </si>
  <si>
    <t>6ST78293JU579072E</t>
  </si>
  <si>
    <t>2026-02-19</t>
  </si>
  <si>
    <t>ch_3T2SsURrkwwcYwep02GfXa8W</t>
  </si>
  <si>
    <t>2026-02-22</t>
  </si>
  <si>
    <t>4W6628604D401674M</t>
  </si>
  <si>
    <t>2026-02-24</t>
  </si>
  <si>
    <t>3BH14596X8651312H</t>
  </si>
  <si>
    <t>2026-02-25</t>
  </si>
  <si>
    <t>ch_3T4dUERrkwwcYwep12Oam9Z2</t>
  </si>
  <si>
    <t>2026-02-26</t>
  </si>
  <si>
    <t>ch_3T4uOsRrkwwcYwep1zRSm9BF</t>
  </si>
  <si>
    <t>2026-03-01</t>
  </si>
  <si>
    <t>ch_3T6AndRrkwwcYwep0qzntmsz</t>
  </si>
  <si>
    <t>2026-03-13</t>
  </si>
  <si>
    <t>83N54580AU0027713</t>
  </si>
  <si>
    <t>2026-03-14</t>
  </si>
  <si>
    <t>3D552868PU399581S</t>
  </si>
  <si>
    <t>ch_3TArJQRrkwwcYwep1euDxquO</t>
  </si>
  <si>
    <t>2026-03-18</t>
  </si>
  <si>
    <t>ch_3TCJsERrkwwcYwep0iZJueLR</t>
  </si>
  <si>
    <t>2026-03-19</t>
  </si>
  <si>
    <t>ch_3TCgrURrkwwcYwep0MNWC4e8</t>
  </si>
  <si>
    <t>2026-03-22</t>
  </si>
  <si>
    <t>95E92452N40245344</t>
  </si>
  <si>
    <t>2026-03-24</t>
  </si>
  <si>
    <t>09C2701554000764W</t>
  </si>
  <si>
    <t>2026-03-29</t>
  </si>
  <si>
    <t>ch_3TG8URRrkwwcYwep12OHecA0</t>
  </si>
  <si>
    <t>2026-03-31</t>
  </si>
  <si>
    <t>ch_3TH2KrRrkwwcYwep1njcWN9l</t>
  </si>
  <si>
    <t>TOTALE</t>
  </si>
  <si>
    <t>Fornitore</t>
  </si>
  <si>
    <t>Partita IVA</t>
  </si>
  <si>
    <t>Tipo documento</t>
  </si>
  <si>
    <t>Numero</t>
  </si>
  <si>
    <t>Stripe Payments Europe Ltd</t>
  </si>
  <si>
    <t>IE3206488LH</t>
  </si>
  <si>
    <t>Autofattura TD17</t>
  </si>
  <si>
    <t>STRIPE-FEE-EU-2025-12</t>
  </si>
  <si>
    <t>2025-12-31</t>
  </si>
  <si>
    <t>COTUGNO DI PIERO COTUGNO</t>
  </si>
  <si>
    <t>IT03195710649</t>
  </si>
  <si>
    <t>Fattura SDI / Passiva</t>
  </si>
  <si>
    <t>FPR 3/26</t>
  </si>
  <si>
    <t>2026-01-17</t>
  </si>
  <si>
    <t>LA PRIMAVERA S.n.c. di Calamunci Daniel &amp; C.</t>
  </si>
  <si>
    <t>IT03812750838</t>
  </si>
  <si>
    <t>2026/1</t>
  </si>
  <si>
    <t>2026-01-24</t>
  </si>
  <si>
    <t>SHOPPINGARDEN DI ANNA BRUNO</t>
  </si>
  <si>
    <t>IT01786960789</t>
  </si>
  <si>
    <t>1/2026</t>
  </si>
  <si>
    <t>2026-01-26</t>
  </si>
  <si>
    <t>STRIPE PAYMENTS EUROPE LIMITED</t>
  </si>
  <si>
    <t>000001-2026-EST</t>
  </si>
  <si>
    <t>2026-01-31</t>
  </si>
  <si>
    <t>OpenAI Ireland Limited</t>
  </si>
  <si>
    <t>IE4143435AH</t>
  </si>
  <si>
    <t>000002-2026-EST</t>
  </si>
  <si>
    <t>000003-2026-EST</t>
  </si>
  <si>
    <t>Battistella Fioreria srl</t>
  </si>
  <si>
    <t>IT01719220939</t>
  </si>
  <si>
    <t>21</t>
  </si>
  <si>
    <t>PayPal (Europe) S.à r.l. et Cie, S.C.A.</t>
  </si>
  <si>
    <t>LU26375245</t>
  </si>
  <si>
    <t>PP-FEE-2026-01</t>
  </si>
  <si>
    <t>STRIPE-FEE-EU-2026-01</t>
  </si>
  <si>
    <t>FLOWERS DI FERRANTE IGNAZIO</t>
  </si>
  <si>
    <t>IT04138950821</t>
  </si>
  <si>
    <t>18</t>
  </si>
  <si>
    <t>2026-02-06</t>
  </si>
  <si>
    <t>FLORAGARDEN di Stinga Baldassarre</t>
  </si>
  <si>
    <t>IT02068720651</t>
  </si>
  <si>
    <t>17</t>
  </si>
  <si>
    <t>2026-02-10</t>
  </si>
  <si>
    <t>DI PAOLA MARIA ANTONIETTA</t>
  </si>
  <si>
    <t>IT04722740877</t>
  </si>
  <si>
    <t>5</t>
  </si>
  <si>
    <t>IRIN S.R.L.</t>
  </si>
  <si>
    <t>IT04263500276</t>
  </si>
  <si>
    <t>265</t>
  </si>
  <si>
    <t>2026-02-18</t>
  </si>
  <si>
    <t>Google Ireland Ltd</t>
  </si>
  <si>
    <t>Invoice-N2UJNHG9-0001.pdf</t>
  </si>
  <si>
    <t>2/2026</t>
  </si>
  <si>
    <t>2026-02-23</t>
  </si>
  <si>
    <t>28</t>
  </si>
  <si>
    <t>000004-2026-EST</t>
  </si>
  <si>
    <t>2026-02-28</t>
  </si>
  <si>
    <t>000005-2026-EST</t>
  </si>
  <si>
    <t>000006-2026-EST</t>
  </si>
  <si>
    <t>53</t>
  </si>
  <si>
    <t>PP-FEE-2026-02</t>
  </si>
  <si>
    <t>STRIPE-FEE-EU-2026-02</t>
  </si>
  <si>
    <t>DC STUDIO STP SRL</t>
  </si>
  <si>
    <t>IT03928110133</t>
  </si>
  <si>
    <t>66</t>
  </si>
  <si>
    <t>2026-03-02</t>
  </si>
  <si>
    <t>FLORIS DI BORDOLI LORIS</t>
  </si>
  <si>
    <t>IT04054310133</t>
  </si>
  <si>
    <t>4</t>
  </si>
  <si>
    <t>2026-03-12</t>
  </si>
  <si>
    <t>FIORERIA ROSE E TULIPANI DI CECCOTTI DANTE</t>
  </si>
  <si>
    <t>IT02930301201</t>
  </si>
  <si>
    <t>3/2026</t>
  </si>
  <si>
    <t>2026-03-25</t>
  </si>
  <si>
    <t>000007-2026-EST</t>
  </si>
  <si>
    <t>96</t>
  </si>
  <si>
    <t>PP-FEE-2026-03</t>
  </si>
  <si>
    <t>STRIPE-FEE-EU-2026-03</t>
  </si>
  <si>
    <t>Data operazione</t>
  </si>
  <si>
    <t>Data valuta</t>
  </si>
  <si>
    <t>Descrizione bancaria ufficiale</t>
  </si>
  <si>
    <t>Entrate EUR</t>
  </si>
  <si>
    <t>Uscite EUR</t>
  </si>
  <si>
    <t>Saldo bancario EUR</t>
  </si>
  <si>
    <t>Match</t>
  </si>
  <si>
    <t>Tipo match</t>
  </si>
  <si>
    <t>2026-01-02</t>
  </si>
  <si>
    <t>Imposta di Bollo di Conto Corrente del 31.12.2025</t>
  </si>
  <si>
    <t>MATCHED</t>
  </si>
  <si>
    <t>BANK_FEE</t>
  </si>
  <si>
    <t>2026-01-05</t>
  </si>
  <si>
    <t>Canone Mensile Conto Dicembre 2025</t>
  </si>
  <si>
    <t>2026-01-14</t>
  </si>
  <si>
    <t>Paypal Europe S.a.r.l. Et Cie S.c.a Addebito Sdd Fattura a Vs Carico da Lu96zzz0000000000000000058 Mand 4da2225a55j8c per 1047566066799/Add To Balance</t>
  </si>
  <si>
    <t>SDI_INVOICE</t>
  </si>
  <si>
    <t>Beneficiario: Piero Cotugno Iban: It52w0760115100001072538687 Data Inserimento: 17/01/2026 16:52:31 Canale: Phone/Voice P. Causale: Acquisto Fiori per Cimitero Trn: 2601173101603091480320000000it</t>
  </si>
  <si>
    <t>2026-01-19</t>
  </si>
  <si>
    <t>Ord: Paypal Europe S.a.r.l. Et Cie S.c.a Ben: Floremoria S.r.l. Dt-Ord: 19/01/2026 Banca Ord: Paypal (Europe) S.a R.l. Info-Cli: Yyw1047712485192/Paypal</t>
  </si>
  <si>
    <t>UNMATCHED</t>
  </si>
  <si>
    <t>FLORIST_TRANSFER</t>
  </si>
  <si>
    <t>2026-01-23</t>
  </si>
  <si>
    <t>Ord: Stripe Ben: Floremoria S R L Dt-Ord: 23/01/2026 Banca Ord: Citibank Europe Plc Amst Info-Cli: Stripe</t>
  </si>
  <si>
    <t>Ord: Paypal Europe S.a.r.l. Et Cie S.c.a Ben: Floremoria S.r.l. Dt-Ord: 26/01/2026 Banca Ord: Paypal (Europe) S.a R.l. Info-Cli: Yyw1047859804551/Paypal</t>
  </si>
  <si>
    <t>Ben: Tindaro Calamunci Ins: 26/01/2026 12:28:59 da: Phone/Voice P. Iban: It47h0306982100100000003584 Transid: 2601243107644016480320010900it Cau: Acquisto Fiori per il Cimitero</t>
  </si>
  <si>
    <t>2026-01-27</t>
  </si>
  <si>
    <t>Ord: Stripe Ben: Floremoria S R L Dt-Ord: 27/01/2026 Banca Ord: Citibank Europe Plc Amst Info-Cli: Stripe 001 L0001006116-P32-D7-1/4</t>
  </si>
  <si>
    <t>2026-01-30</t>
  </si>
  <si>
    <t>Beneficiario: Ditta di Bruno Anna Iban: It83q0706618427000000137769 Data Inserimento: 30/01/2026 18:38:56 Canale: Phone/Voice P. Causale: Acquisto Fiori per Cimitero Tortora Trn: 2601303114167798480320000000it</t>
  </si>
  <si>
    <t>2026-02-03</t>
  </si>
  <si>
    <t>Ben: Battistella Fioreria Srl Ins: 03/02/2026 16:09:53 da: Phone/Voice P. Iban: It68p0835612501000000065729 Transid: 2602023116749802480320010900it Cau: Pagamento Fattura Nr. 021/2026</t>
  </si>
  <si>
    <t>2026-02-05</t>
  </si>
  <si>
    <t>Canone Mensile Conto Gennaio 2026</t>
  </si>
  <si>
    <t>Ord: Cciaa Como-Lecco Ben: Floremoria S.r.l. Dt-Ord: 05/02/2026 Banca Ord: Iconto Srl Info-Cli: Liquidazione Contributo Bando Nuova Impresa 2025</t>
  </si>
  <si>
    <t>Ord: Paypal Europe S.a.r.l. Et Cie S.c.a Ben: Floremoria S.r.l. Dt-Ord: 16/02/2026 Banca Ord: Paypal (Europe) S.a R.l. Info-Cli: Yyw1048327987621/Paypal</t>
  </si>
  <si>
    <t>Beneficiario: di Paola Maria Antonietta Iban: It17h0503484190000000003633 Data Inserimento: 17/02/2026 08:39:52 Canale: Phone/Voice P. Causale: Acquisto Fiori Trn: 2602173130036753480320000000it</t>
  </si>
  <si>
    <t>2026-02-20</t>
  </si>
  <si>
    <t>Paypal Europe S.a.r.l. Et Cie S.c.a Addebito Sdd Fattura a Vs Carico da Lu96zzz0000000000000000058 Mand 4da2225a55j8c per 1048371168733/Add To Balance</t>
  </si>
  <si>
    <t>FOREIGN_AUTOFATTURA</t>
  </si>
  <si>
    <t>Paypal Europe S.a.r.l. Et Cie S.c.a Addebito Sdd Fattura a Vs Carico da Lu96zzz0000000000000000058 Mand 4da2225a55j8c per 1048371001909/Paypal</t>
  </si>
  <si>
    <t>GATEWAY_PAYOUT_UNMATCHED</t>
  </si>
  <si>
    <t>Ord: Paypal Europe S.a.r.l. Et Cie S.c.a Ben: Floremoria S.r.l. Dt-Ord: 23/02/2026 Banca Ord: Paypal (Europe) S.a R.l. Info-Cli: Yyw1048476039156/Paypal</t>
  </si>
  <si>
    <t>Ord: Stripe Ben: Floremoria S R L Dt-Ord: 24/02/2026 Banca Ord: Citibank Europe Plc Amst Info-Cli: Stripe</t>
  </si>
  <si>
    <t>Ben: Stinga Baldassarre Ins: 24/02/2026 07:48:26 da: Phone/Voice P. Iban: It26j0310476350000000160010 Transid: 2602243136605247480320010900it Cau: Pagamento Fattura 17 del 10-2-26</t>
  </si>
  <si>
    <t>Ben: Flowers di Ferrante Ignazio Ins: 24/02/2026 07:53:38 da: Phone/Voice P. Iban: It39a0200804621000300629245 Transid: 2602243136606572480320010900it Cau: Acquisto Fiori per Cimitero</t>
  </si>
  <si>
    <t>Beneficiario: Medda Giovanni Gabriele Iban: It38e3608105138234837334848 Data Inserimento: 26/02/2026 12:12:02 Canale: Phone/Voice P. Causale: Acquisto Fiori per il Cimitero di Carbonia Trn: 2602263138928339480320000000it</t>
  </si>
  <si>
    <t>2026-02-27</t>
  </si>
  <si>
    <t>Ben: Dc Studio Stp Srl Ins: 27/02/2026 19:31:06 da: Internet Iban: It02y0200822900000107305967 Transid: 2602263139617639480320010900it Cau: Pagamento Proforma N. 158</t>
  </si>
  <si>
    <t>Ord: Stripe Ben: Floremoria S R L Dt-Ord: 02/03/2026 Banca Ord: Citibank Europe Plc Amst Info-Cli: Stripe</t>
  </si>
  <si>
    <t>Beneficiario: Battistella Fioreria Srl Iban: It68p0835612501000000065729 Data Inserimento: 02/03/2026 16:00:41 Canale: Phone/Voice P. Causale: Pagamento Fattura 053/2026 Trn: 2603023143738071480320000000it</t>
  </si>
  <si>
    <t>Ord: Paypal Europe S.a.r.l. Et Cie S.c.a Ben: Floremoria S.r.l. Dt-Ord: 02/03/2026 Banca Ord: Paypal (Europe) S.a R.l. Info-Cli: Yyw1048646064967/Paypal</t>
  </si>
  <si>
    <t>2026-03-03</t>
  </si>
  <si>
    <t>Ord: Stripe Ben: Floremoria S R L Dt-Ord: 03/03/2026 Banca Ord: Citibank Europe Plc Amst Info-Cli: Stripe</t>
  </si>
  <si>
    <t>Ben: Bordoli Loris Ins: 03/03/2026 16:02:36 da: Phone/Voice P. Iban: It62i0306985473100000005941 Transid: 2603023143739201480320010900it Cau: Acquisto Omaggio Floreale per Valduce</t>
  </si>
  <si>
    <t>2026-03-05</t>
  </si>
  <si>
    <t>Canone Mensile Conto Febbraio 2026</t>
  </si>
  <si>
    <t>Ord: Stripe Ben: Floremoria S R L Dt-Ord: 05/03/2026 Banca Ord: Citibank Europe Plc Amst Info-Cli: Stripe</t>
  </si>
  <si>
    <t>Paypal Europe S.a.r.l. Et Cie S.c.a Addebito Sdd Fattura a Vs Carico da Lu96zzz0000000000000000058 Mand 4da2225a55j8c per 1048869247981/Paypal</t>
  </si>
  <si>
    <t>2026-03-16</t>
  </si>
  <si>
    <t>Ord: Paypal Europe S.a.r.l. Et Cie S.c.a Ben: Floremoria S.r.l. Dt-Ord: 16/03/2026 Banca Ord: Paypal (Europe) S.a R.l. Info-Cli: Yyw1048959152010/Paypal</t>
  </si>
  <si>
    <t>Ben: Torcasio Angelo Ins: 18/03/2026 10:47:20 da: Phone/Voice P. Iban: Ie83mpos99039041067869 Transid: 2603183158862306480320010900it Cau: Acquisto Fiori per Cimitero</t>
  </si>
  <si>
    <t>Ord: Stripe Ben: Floremoria S R L Dt-Ord: 19/03/2026 Banca Ord: Citibank Europe Plc Amst Info-Cli: Stripe</t>
  </si>
  <si>
    <t>2026-03-23</t>
  </si>
  <si>
    <t>Ord: Stripe Ben: Floremoria S R L Dt-Ord: 23/03/2026 Banca Ord: Citibank Europe Plc Amst Info-Cli: Stripe</t>
  </si>
  <si>
    <t>Ord: Paypal Europe S.a.r.l. Et Cie S.c.a Ben: Floremoria S.r.l. Dt-Ord: 23/03/2026 Banca Ord: Paypal (Europe) S.a R.l. Info-Cli: Yyw1049112952714/Paypal</t>
  </si>
  <si>
    <t>Ord: Stripe Ben: Floremoria S R L Dt-Ord: 24/03/2026 Banca Ord: Citibank Europe Plc Amst Info-Cli: Stripe</t>
  </si>
  <si>
    <t>Ben: Davide Capitano Ins: 24/03/2026 11:19:50 da: Phone/Voice P. Iban: Ie86sumu99036510611169 Transid: 2603243164530324480320010900it Cau: Acquisto Fiori per Cimitero S.orsola Palermo 001 L0001006116-P32-D7-2/4</t>
  </si>
  <si>
    <t>Paypal Europe S.a.r.l. Et Cie S.c.a Addebito Sdd Fattura a Vs Carico da Lu96zzz0000000000000000058 Mand 4da2225a55j8c per 1049113897165/Paypal</t>
  </si>
  <si>
    <t>2026-03-26</t>
  </si>
  <si>
    <t>Beneficiario: Ditta di Bruno Anna Iban: It83q0706618427000000137769 Data Inserimento: 26/03/2026 16:20:07 Canale: Phone/Voice P. Causale: Acquisto Fiori Cimitero Tortora Trn: 2603263166896104480320000000it</t>
  </si>
  <si>
    <t>2026-03-30</t>
  </si>
  <si>
    <t>Ord: Paypal Europe S.a.r.l. Et Cie S.c.a Ben: Floremoria S.r.l. Dt-Ord: 30/03/2026 Banca Ord: Paypal (Europe) S.a R.l. Info-Cli: Yyw1049267666668/Paypal 001 L0001006116-P32-D7-3/4 1/1 Fondo Interbancario di Tutela dei Depositi (FITD) (1) Il FITD è un consorzio di diritto privato tra banche, ufficialmente riconosciuto dalla Banca d’Italia come sistema di garanzia dei depositi. L’adesione delle banche ai sistemi di garanzia dei depositi è obbligatoria per legge. 100.000 euro per depositante e per banca. In taluni casi, la legge prevede una tutela rafforzata per esigenze sociali * . Tutti i depositi presso la stessa banca sono cumulati e il totale è soggetto al limite di 100.000 euro (2) . Il limite di 100.000 euro si applica a ciascun depositante separatamente (3) 7 gg lavorativi a decorrere dalla data in cui si producono gli effetti del provvedimento di liquidazione coatta amministrativa della banca (4) . Il diritto al rimborso si estingue decorsi 5 anni dalla data in cui si producono gli effetti del provvedimento di liquidazione coatta amministrativa della banca ** . Fondo Interbancario di Tutela dei Depositi Via del Plebiscito, 102 - 00186 Roma Per info 800.52.52.52 La conferma dell’avvenuta acquisizione da parte del depositante della presente informativa è attestata sul modulo di sottoscrizione del contratto. il FITD può differire il rimborso se: a) vi è incertezza sul diritto del titolare a ricevere il rimborso o il deposito è oggetto di una controversia in sede giudiziale o presso un organismo di risoluzione stragiu- diziale delle controversie, la cui definizione incide su tale diritto o sull’ammontare del rimborso. In questo ambito rientrano le seguenti fattispecie: la compensazione tra posizioni a credito e a debito del depositante; i depositi in pegno; i depositi oggetto di con- troversie legali; b) il deposito è soggetto a misure restrittive imposte da uno Stato o da una organiz- zazione internazionale, finché detta misura è efficace; c) non è stata effettuata alcuna operazione relativa al deposito nei 24 mesi preceden- ti la data in cui si producono gli effetti del provvedimento di liquidazione coatta amministrativa della banca; in questo caso il rimborso è effettuato entro sei mesi dalla stessa data, fermo restando che non è dovuto alcun rimborso se il valore del deposito è inferiore a 100 euro. Si tratta della fattispecie specifica di “conti dormienti” definita ai fini della garanzia dei depositi dalla direttiva 2014/49/UE. d) l’importo da rimborsare è un saldo temporaneo elevato ai sensi del comma 16; il differimento opera per la sola parte eccedente i 100.000 euro e il rimborso è effet- tuato entro sei mesi dalla data in cui si producono gli effetti del provvedimento di liquidazione coatta amministrativa della banca; e) il rimborso va effettuato a favore dei depositanti di una succursale di banca comu- nitaria operante in Italia; in tal caso, il termine di cui al comma 7 decorre dalla data in cui il Fondo riceve dal sistema di garanzia del Paese di origine della succursale, le risorse finanziarie necessarie per il rimborso; f) il deposito è di pertinenza di soggetti che svolgono funzioni di amministrazione, direzione e controllo, nei cui confronti sia stata avviata un’azione di responsabilità. Altre informazioni importanti In generale, tutti i depositanti al dettaglio e le imprese sono coperti dai sistemi di garanzia dei depositi. Le eccezioni vigenti per taluni sistemi di garanzia dei depositi sono indicate nel sito internet del sistema di garanzia dei depositi pertinente. Il Suo ente creditizio Le comunicherà inoltre su richiesta se taluni prodotti sono o meno coperti. La copertura dei depositi deve essere confermata dall’ente creditizio anche nell’estratto conto. Casi di esclusione dalla protezione Non sono ammissibili alla garanzia del Fondo: a) i depositi derivanti da transazioni in relazione alle quali sia intervenuta una condan- na definitiva per i reati previsti negli artt. 648-bis, 648-ter del codice penale, fermo restando quanto previsto dall’art. 648-quater del codice penale; b) i depositi i cui titolari, al momento dell’avvio della procedura di liquidazione coatta amministrativa, non risultano identificati ai sensi della disciplina in materia di pre- venzione dell’utilizzo del sistema finanziario a scopo di riciclaggio dei proventi di attività criminose e di finanziamento del terrorismo 001 L0001006116-P32-D7-4/4 c) le obbligazioni e i crediti derivanti da accettazioni, pagherò cambiari e operazioni in titoli.</t>
  </si>
  <si>
    <t>INTERNAL_TRANSFER</t>
  </si>
  <si>
    <t>File NON QUADRA — scostamento aggregato controlli falliti: € 155,59 (dettaglio in Quadratura)</t>
  </si>
  <si>
    <t>Controlli: OK 1 · falliti 9 · non verificabili 0</t>
  </si>
  <si>
    <t>Liquidazione IVA del trimestre</t>
  </si>
  <si>
    <t>Voce</t>
  </si>
  <si>
    <t>Importo EUR</t>
  </si>
  <si>
    <t>Fonte</t>
  </si>
  <si>
    <t>Imponibile vendite (determinata + presunta)</t>
  </si>
  <si>
    <t>Corrispettivi</t>
  </si>
  <si>
    <t>IVA a debito vendite</t>
  </si>
  <si>
    <t>Imponibile acquisti</t>
  </si>
  <si>
    <t>Acquisti</t>
  </si>
  <si>
    <t>IVA a credito acquisti (documenti italiani)</t>
  </si>
  <si>
    <t>IVA reverse charge — a debito</t>
  </si>
  <si>
    <t>autofatture Acquisti</t>
  </si>
  <si>
    <t>IVA reverse charge — a credito</t>
  </si>
  <si>
    <t>stesso importo (entrambi i lati)</t>
  </si>
  <si>
    <t>IVA a debito complessiva</t>
  </si>
  <si>
    <t>vendite + reverse charge</t>
  </si>
  <si>
    <t>IVA a credito complessiva</t>
  </si>
  <si>
    <t>acquisti + reverse charge</t>
  </si>
  <si>
    <t>Saldo del trimestre (debito − credito)</t>
  </si>
  <si>
    <t>da versare se &gt; 0</t>
  </si>
  <si>
    <t>Metodo v1.9 · T1 2026</t>
  </si>
  <si>
    <t>Cosa</t>
  </si>
  <si>
    <t>Dove</t>
  </si>
  <si>
    <t>Motivo (in parole semplici)</t>
  </si>
  <si>
    <t>Google Ireland Ltd · Invoice-N2UJNHG9-0001.pdf</t>
  </si>
  <si>
    <t>Acquisti (canale manuale)</t>
  </si>
  <si>
    <t>documento già acquisito da altro canale</t>
  </si>
  <si>
    <t>Incasso senza aliquota determinabile — PayPal 1RX76371GK653614X</t>
  </si>
  <si>
    <t>Incasso gateway senza ordine collegato e senza regola di presunzione applicabile.</t>
  </si>
  <si>
    <t>Incasso senza aliquota determinabile — PayPal 66C04847WL650301D</t>
  </si>
  <si>
    <t>Incasso senza aliquota determinabile — PayPal 22E30531F99808504</t>
  </si>
  <si>
    <t>Incasso senza aliquota determinabile — PayPal 8YH43677SS377553L</t>
  </si>
  <si>
    <t>Incasso senza aliquota determinabile — PayPal 44E519039S467634K</t>
  </si>
  <si>
    <t>Incasso senza aliquota determinabile — PayPal 10L73398F49365903</t>
  </si>
  <si>
    <t>Incasso senza aliquota determinabile — PayPal 2GU64478W4726692S</t>
  </si>
  <si>
    <t>Incasso senza aliquota determinabile — PayPal 6ST78293JU579072E</t>
  </si>
  <si>
    <t>Incasso senza aliquota determinabile — PayPal 4W6628604D401674M</t>
  </si>
  <si>
    <t>Incasso senza aliquota determinabile — PayPal 3BH14596X8651312H</t>
  </si>
  <si>
    <t>Incasso senza aliquota determinabile — PayPal 83N54580AU0027713</t>
  </si>
  <si>
    <t>Incasso senza aliquota determinabile — PayPal 3D552868PU399581S</t>
  </si>
  <si>
    <t>Incasso senza aliquota determinabile — PayPal 95E92452N40245344</t>
  </si>
  <si>
    <t>Incasso senza aliquota determinabile — PayPal 09C2701554000764W</t>
  </si>
  <si>
    <t>C1 — Completezza banca</t>
  </si>
  <si>
    <t>Quadratura (controlli)</t>
  </si>
  <si>
    <t>estratto=41 · PN banca=37</t>
  </si>
  <si>
    <t>C2 — Quadratura banca</t>
  </si>
  <si>
    <t>Σ PN=438.66 · net estratto=361.76 (E 5388.92 − U 5027.16)</t>
  </si>
  <si>
    <t>C3 — Continuità saldo</t>
  </si>
  <si>
    <t>doc=1° trimestre Fineco.pdf · open=32120.48 · Σ=361.76 · close=32442.24 · nLinee=41</t>
  </si>
  <si>
    <t>C4 — Incassi e corrispettivi</t>
  </si>
  <si>
    <t>gateway=1038.54 (Stripe charges/payments 655.84 + PayPal) · corrispettivi report=1019.69 · nCorrispettivi=25</t>
  </si>
  <si>
    <t>C5 — Coerenza documenti</t>
  </si>
  <si>
    <t>manual=24 · saas=1 · parti=5158.23 · totali=5138.39</t>
  </si>
  <si>
    <t>C6 — Nessuno storno tecnico</t>
  </si>
  <si>
    <t>coppie=1 · invoice-n2ujnhg9-0001.pdf imponibile ±25.42 (manual↔saas) · negativi sistema senza coppia=0 · manual=24 · saas=1</t>
  </si>
  <si>
    <t>C7 — Identificazione fornitori</t>
  </si>
  <si>
    <t>esempi: Google Ireland Ltd; Google Ireland Ltd</t>
  </si>
  <si>
    <t>C9 — Partite di giro</t>
  </si>
  <si>
    <t>righe ledger T2 ispezionate=134</t>
  </si>
  <si>
    <t>C10 — Doppia gamba transito</t>
  </si>
  <si>
    <t>FALLITO su entrambi i gateway (atteso in Fase 1: gamba dare mai scritta / saldo PayPal n/d)</t>
  </si>
  <si>
    <t>Descrizione / Causale Economica</t>
  </si>
  <si>
    <t>Controparte / Fornitore Reale</t>
  </si>
  <si>
    <t>Dare/Avere (Importo EUR)</t>
  </si>
  <si>
    <t>Canale / Conto</t>
  </si>
  <si>
    <t>Mastro Contabile</t>
  </si>
  <si>
    <t>Riferimento Fiscale</t>
  </si>
  <si>
    <t>Saldo Progressivo</t>
  </si>
  <si>
    <t>Fineco</t>
  </si>
  <si>
    <t>Oneri bancari</t>
  </si>
  <si>
    <t>fineco_fee_2026-01-02_2525</t>
  </si>
  <si>
    <t>Ricavi vendite</t>
  </si>
  <si>
    <t>cmt2q4ejc001djl04akj8ur3j</t>
  </si>
  <si>
    <t>Spese operative</t>
  </si>
  <si>
    <t>cmt2q4i0f001zjl04pt6peadx</t>
  </si>
  <si>
    <t>Partita di giro (gateway → Fineco)</t>
  </si>
  <si>
    <t>cmt311c5f0009l4042pt6bfi7</t>
  </si>
  <si>
    <t>cmt311c5f000al404w3vm8us9</t>
  </si>
  <si>
    <t>Costi del venduto / Fioristi</t>
  </si>
  <si>
    <t>cmt311c5f000cl404u0i53xdl</t>
  </si>
  <si>
    <t>cmt311c5f000bl404cbfiyisq</t>
  </si>
  <si>
    <t>cmt311c5f000dl404f4ecyuna</t>
  </si>
  <si>
    <t>cmt2q4ffj001jjl0479r6l7f5</t>
  </si>
  <si>
    <t>Contributi in conto esercizio</t>
  </si>
  <si>
    <t>cmt311c5f000hl4045ueo4j8a</t>
  </si>
  <si>
    <t>cmt311c5f000il404hubv7qc9</t>
  </si>
  <si>
    <t>cmt1wnwrr0003jo04dpyn36tw</t>
  </si>
  <si>
    <t>cmt311c5f000ll404dxctkr4a</t>
  </si>
  <si>
    <t>cmt2q47ng000ejl04mpgf86x4</t>
  </si>
  <si>
    <t>cmt311c5f000ml4046zdwsf0m</t>
  </si>
  <si>
    <t>cmt311c5f000ol404px0kb4td</t>
  </si>
  <si>
    <t>cmt311c5f000pl404eoft3m0q</t>
  </si>
  <si>
    <t>cmt1wo4hx000ljo04bjd7tilp</t>
  </si>
  <si>
    <t>cmt2q4dvb0019jl04xfxs7wfj</t>
  </si>
  <si>
    <t>cmt311c5f000tl404y5e783r3</t>
  </si>
  <si>
    <t>cmt311c5g000vl404gpzggqr1</t>
  </si>
  <si>
    <t>cmt2q4e8n001bjl044imyzvsb</t>
  </si>
  <si>
    <t>cmt2q4di00017jl04l7itahw5</t>
  </si>
  <si>
    <t>cmt311c5g000wl404cj2xol0d</t>
  </si>
  <si>
    <t>cmt311c5g000zl404ismo7050</t>
  </si>
  <si>
    <t>fineco_fee_2026-03-05_1595</t>
  </si>
  <si>
    <t>Google Payment Ireland Limited · Addebito Fineco via PayPal</t>
  </si>
  <si>
    <t>Google Payment Ireland Limited</t>
  </si>
  <si>
    <t>cmt311c5g0010l404s14rypcz</t>
  </si>
  <si>
    <t>cmt311c5g0011l404mvps0ll9</t>
  </si>
  <si>
    <t>cmt311c5g0012l404znotvoiw</t>
  </si>
  <si>
    <t>cmt311c5g0013l40406eeg6og</t>
  </si>
  <si>
    <t>cmt311c5g0015l404e3jw7ftu</t>
  </si>
  <si>
    <t>cmt311c5g0014l404eydg1078</t>
  </si>
  <si>
    <t>cmt311c5g0017l404xlz1zwdy</t>
  </si>
  <si>
    <t>cmt311c5g0016l4047gd2x8bi</t>
  </si>
  <si>
    <t>Google Payment Ireland Ltd. · Addebito Fineco via PayPal</t>
  </si>
  <si>
    <t>Google Payment Ireland Ltd.</t>
  </si>
  <si>
    <t>cmt2q4d7b0015jl04149x9nh5</t>
  </si>
  <si>
    <t>cmt2q4cwl0013jl04jr5gllg6</t>
  </si>
  <si>
    <t>Ord: Paypal Europe S.a.r.l. Et Cie S.c.a Ben: Floremoria S.r.l. Dt-Ord: 30/03/2026 Banca Ord: Paypal (Europe) S.a R.l. Info-Cli: Yyw1049267666668/Paypal 001 L0001006116-P32-D7-3/4 1/1 Fondo Interbancario di Tutela dei Depositi (FITD) (1) Il FITD è un consorzio di diritto privato tra banche, ufficialmente riconosciuto dalla Banca d’Italia come sistema di garanzia dei depositi. L’adesione delle banche ai sistemi di garanzia dei depositi è obbligatoria per legge. 100.000 euro per depositante e per banca. In taluni casi, la legge prevede una tutela rafforzata per esigenze sociali * . Tutti i depositi presso la stessa banca sono cumulati e il totale è soggetto al limite di 100.000 euro (2) . Il limite di 100.000 euro si applica a ciascun depositante separatamente (3) 7 gg lavorativi a decorrere dalla data in cui si producono gli effetti del provvedimento di liquidazione coatta amministrativa della banca (4) . Il diritto al rimborso si estingue decorsi 5 anni dalla data in cui si producono gli effetti del provvedimento di liquidazione coatta amministrativa della banca ** . Fondo Interbancario di Tutela dei Depositi Via del Plebiscito, 102 - 00186 Roma Per info 800.52.52.52 La conferma dell’avvenuta acquisizione da parte del depositante della presente informativa è attestata sul modulo di sottoscrizione del contratto. il FITD può differire il rimborso se: a) vi è incertezza sul diritto del titolare a ricevere il rimborso o il deposito è oggetto di una controversia in sede giudiziale o presso un organismo di risoluzione stragiu- diziale delle controversie, la cui definizione incide su tale diritto o sull’ammontare del rimborso. In questo ambito rientrano le seguenti fattispecie: la compensazione tra posizioni a credito e a debito del depositante; i depositi in pegno; i depositi oggetto di con- troversie legali; b) il deposito è soggetto a misure restrittive imposte da uno Stato o da una organiz- zazione internazionale, finché detta misura è efficace; c) non è stata effettua</t>
  </si>
  <si>
    <t>cmt311c5g001bl404bzl47woh</t>
  </si>
  <si>
    <t>TOTALE MOVIMENTI</t>
  </si>
  <si>
    <t>Totale Entrate € 5388.92 · Totale Uscite € 4950.26 · Periodo T1 2026</t>
  </si>
  <si>
    <t>ID Transazione Stripe</t>
  </si>
  <si>
    <t>Ordine FloreMoria</t>
  </si>
  <si>
    <t>Importo Lordo Cliente EUR</t>
  </si>
  <si>
    <t>Commissione Trattenuta (Fee) EUR</t>
  </si>
  <si>
    <t>Importo Netto EUR</t>
  </si>
  <si>
    <t>Payout verso Fineco (ID / Data)</t>
  </si>
  <si>
    <t>Tipo</t>
  </si>
  <si>
    <t>stripe_eu_tx_txn_3SqBl3RrkwwcYwep0dcGRaZF</t>
  </si>
  <si>
    <t>payment</t>
  </si>
  <si>
    <t>stripe_eu_tx_txn_3Src7YRrkwwcYwep0cGIOVep</t>
  </si>
  <si>
    <t>charge</t>
  </si>
  <si>
    <t>stripe_eu_tx_txn_1Src7dRrkwwcYwepnjdikkmH</t>
  </si>
  <si>
    <t>contribution</t>
  </si>
  <si>
    <t>stripe_eu_tx_txn_3Ss2yLRrkwwcYwep1uaA2uZf</t>
  </si>
  <si>
    <t>stripe_eu_tx_txn_3SsPVeRrkwwcYwep17HxuA4b</t>
  </si>
  <si>
    <t>stripe_eu_tx_txn_1SsPVjRrkwwcYwepdZYXJpMG</t>
  </si>
  <si>
    <t>stripe_eu_tx_txn_3SsQrBRrkwwcYwep01FEJRKF</t>
  </si>
  <si>
    <t>stripe_eu_tx_txn_1SsXoKRrkwwcYwepKooWUNqM</t>
  </si>
  <si>
    <t>stripe_eu_tx_po_1SsXoIRrkwwcYwepKNsJM7Wx / 2026-01-23</t>
  </si>
  <si>
    <t>payout</t>
  </si>
  <si>
    <t>stripe_eu_tx_po_1SsXoIRrkwwcYwepKNsJM7Wx</t>
  </si>
  <si>
    <t>stripe_eu_tx_po_1StzhyRrkwwcYwep9fWIinGV</t>
  </si>
  <si>
    <t>stripe_eu_tx_po_1StzhyRrkwwcYwep9fWIinGV / 2026-01-27</t>
  </si>
  <si>
    <t>stripe_eu_tx_txn_1StzhzRrkwwcYwep7ZYupaR6</t>
  </si>
  <si>
    <t>stripe_eu_tx_txn_1StzhzRrkwwcYwep7ZYupaR6 / 2026-01-27</t>
  </si>
  <si>
    <t>stripe_eu_tx_txn_3SzBTjRrkwwcYwep1ORvGjOp</t>
  </si>
  <si>
    <t>stripe_eu_tx_txn_3T1TnTRrkwwcYwep0qUftFfE</t>
  </si>
  <si>
    <t>stripe_eu_tx_txn_3T2SsURrkwwcYwep0EeZT0fV</t>
  </si>
  <si>
    <t>stripe_eu_tx_txn_1T2SvcRrkwwcYwepWYoXukYT</t>
  </si>
  <si>
    <t>stripe_eu_tx_txn_3T3c2GRrkwwcYwep17za1uD8</t>
  </si>
  <si>
    <t>stripe_eu_tx_txn_1T49LDRrkwwcYwepQ4mXoLvm</t>
  </si>
  <si>
    <t>stripe_eu_tx_po_1T49LDRrkwwcYwepVxnMxQDz / 2026-02-24</t>
  </si>
  <si>
    <t>stripe_eu_tx_po_1T49LDRrkwwcYwepVxnMxQDz</t>
  </si>
  <si>
    <t>stripe_eu_tx_txn_3T4dUERrkwwcYwep1ZQ0gk4b</t>
  </si>
  <si>
    <t>stripe_eu_tx_txn_1T4dUJRrkwwcYwepj2onCWXV</t>
  </si>
  <si>
    <t>stripe_eu_tx_txn_3T4uOsRrkwwcYwep1ZLIMDXn</t>
  </si>
  <si>
    <t>stripe_eu_tx_txn_1T4uOxRrkwwcYwepbMSAxgpD</t>
  </si>
  <si>
    <t>stripe_eu_tx_txn_3T6AndRrkwwcYwep0FD8FIxe</t>
  </si>
  <si>
    <t>stripe_eu_tx_txn_1T6AnjRrkwwcYwepx1YTXNra</t>
  </si>
  <si>
    <t>stripe_eu_tx_po_1T6K8MRrkwwcYwepuWGHjQL8</t>
  </si>
  <si>
    <t>stripe_eu_tx_po_1T6K8MRrkwwcYwepuWGHjQL8 / 2026-03-02</t>
  </si>
  <si>
    <t>stripe_eu_tx_txn_1T6K8NRrkwwcYwepOqxLdFA2</t>
  </si>
  <si>
    <t>stripe_eu_tx_txn_1T6K8NRrkwwcYwepOqxLdFA2 / 2026-03-02</t>
  </si>
  <si>
    <t>stripe_eu_tx_po_1T6gg0RrkwwcYwepPr3MthtM</t>
  </si>
  <si>
    <t>stripe_eu_tx_po_1T6gg0RrkwwcYwepPr3MthtM / 2026-03-03</t>
  </si>
  <si>
    <t>stripe_eu_tx_txn_1T6gg0RrkwwcYwep7PqaPWdA</t>
  </si>
  <si>
    <t>stripe_eu_tx_txn_1T6gg0RrkwwcYwep7PqaPWdA / 2026-03-03</t>
  </si>
  <si>
    <t>stripe_eu_tx_po_1T7PyuRrkwwcYwepjCFoH2yT</t>
  </si>
  <si>
    <t>stripe_eu_tx_po_1T7PyuRrkwwcYwepjCFoH2yT / 2026-03-05</t>
  </si>
  <si>
    <t>stripe_eu_tx_txn_1T7PyvRrkwwcYweprNgEJttB</t>
  </si>
  <si>
    <t>stripe_eu_tx_txn_1T7PyvRrkwwcYweprNgEJttB / 2026-03-05</t>
  </si>
  <si>
    <t>stripe_eu_tx_txn_3TAS5xRrkwwcYwep1o0nXdYh</t>
  </si>
  <si>
    <t>stripe_eu_tx_txn_3TArJQRrkwwcYwep1rCXtycD</t>
  </si>
  <si>
    <t>stripe_eu_tx_txn_1TArJURrkwwcYwepFxGuBwiq</t>
  </si>
  <si>
    <t>stripe_eu_tx_txn_3TAsK2RrkwwcYwep0wsuaT3w</t>
  </si>
  <si>
    <t>stripe_eu_tx_txn_3TCJsERrkwwcYwep0KrHg1yR</t>
  </si>
  <si>
    <t>stripe_eu_tx_txn_1TCJsJRrkwwcYwep4Wesxnti</t>
  </si>
  <si>
    <t>stripe_eu_tx_txn_1TCU3IRrkwwcYwepYugEDpTb</t>
  </si>
  <si>
    <t>stripe_eu_tx_po_1TCU3IRrkwwcYwep7ak4w35I / 2026-03-19</t>
  </si>
  <si>
    <t>stripe_eu_tx_po_1TCU3IRrkwwcYwep7ak4w35I</t>
  </si>
  <si>
    <t>stripe_eu_tx_txn_3TCgrURrkwwcYwep0YXvm8J7</t>
  </si>
  <si>
    <t>stripe_eu_tx_txn_1TCgrZRrkwwcYwepvqPcS4bV</t>
  </si>
  <si>
    <t>stripe_eu_tx_txn_3TDuT4RrkwwcYwep1zesBHYX</t>
  </si>
  <si>
    <t>stripe_eu_tx_po_1TDwRhRrkwwcYwepUIqwrL1E</t>
  </si>
  <si>
    <t>stripe_eu_tx_po_1TDwRhRrkwwcYwepUIqwrL1E / 2026-03-23</t>
  </si>
  <si>
    <t>stripe_eu_tx_txn_1TDwRhRrkwwcYwep9NgwW3JF</t>
  </si>
  <si>
    <t>stripe_eu_tx_txn_1TDwRhRrkwwcYwep9NgwW3JF / 2026-03-23</t>
  </si>
  <si>
    <t>stripe_eu_tx_po_1TEIQPRrkwwcYwep4wBEmB66</t>
  </si>
  <si>
    <t>stripe_eu_tx_po_1TEIQPRrkwwcYwep4wBEmB66 / 2026-03-24</t>
  </si>
  <si>
    <t>stripe_eu_tx_txn_1TEIQPRrkwwcYwepyGLD1FAd</t>
  </si>
  <si>
    <t>stripe_eu_tx_txn_1TEIQPRrkwwcYwepyGLD1FAd / 2026-03-24</t>
  </si>
  <si>
    <t>stripe_eu_tx_txn_3TEUw1RrkwwcYwep1mMbYaAJ</t>
  </si>
  <si>
    <t>stripe_eu_tx_txn_3TG8URRrkwwcYwep1eqtkuES</t>
  </si>
  <si>
    <t>stripe_eu_tx_txn_1TG8UXRrkwwcYwepOeFy9e3m</t>
  </si>
  <si>
    <t>stripe_eu_tx_txn_3TH2KrRrkwwcYwep1XdNSY1q</t>
  </si>
  <si>
    <t>stripe_eu_tx_txn_1TH2KxRrkwwcYwepwY4E0ozc</t>
  </si>
  <si>
    <t>Codice Transazione PayPal</t>
  </si>
  <si>
    <t>Beneficiario</t>
  </si>
  <si>
    <t>Importo Lordo EUR</t>
  </si>
  <si>
    <t>Commissione EUR</t>
  </si>
  <si>
    <t>Netto EUR</t>
  </si>
  <si>
    <t>Riferimento Pareggio Fineco</t>
  </si>
  <si>
    <t>2026-01-12</t>
  </si>
  <si>
    <t>58P79025F01488308</t>
  </si>
  <si>
    <t>Acquisto Fornitore</t>
  </si>
  <si>
    <t>OPENAI *CHATGPT SUBSCR</t>
  </si>
  <si>
    <t>8S998539NP0416745</t>
  </si>
  <si>
    <t>staff.floremoria@gmail.com</t>
  </si>
  <si>
    <t>Vendita Corrispettivo</t>
  </si>
  <si>
    <t>Giulia Grappone</t>
  </si>
  <si>
    <t>Fee</t>
  </si>
  <si>
    <t>2FS62802SE993253H</t>
  </si>
  <si>
    <t>Payout Bancario</t>
  </si>
  <si>
    <t>LUCIANO MAMMI'</t>
  </si>
  <si>
    <t>0CG66539PU296764M</t>
  </si>
  <si>
    <t>ester irace</t>
  </si>
  <si>
    <t>9428166618630750B</t>
  </si>
  <si>
    <t>6SM15091FR9566401</t>
  </si>
  <si>
    <t>54W40024GA901774A</t>
  </si>
  <si>
    <t>irin srl</t>
  </si>
  <si>
    <t>0LJ33978P8468903T</t>
  </si>
  <si>
    <t>4U3379959N1053207</t>
  </si>
  <si>
    <t>OPENAI</t>
  </si>
  <si>
    <t>2GX09901PN9229131</t>
  </si>
  <si>
    <t>9K567773SM366192E</t>
  </si>
  <si>
    <t>4H853123U78395159</t>
  </si>
  <si>
    <t>Maria Agata Puliafico</t>
  </si>
  <si>
    <t>Chiara Durì</t>
  </si>
  <si>
    <t>7TN177553S339462D</t>
  </si>
  <si>
    <t>96U13193NF470693E</t>
  </si>
  <si>
    <t>9BM635819G269870X</t>
  </si>
  <si>
    <t>4A263704GH056272W</t>
  </si>
  <si>
    <t>DOSSIER NON QUADRATO (strumento interno)</t>
  </si>
  <si>
    <t>Verificabili OK 1/10 · non verificabili 0 · falliti 9</t>
  </si>
  <si>
    <t>Controlli falliti: C1, C2, C3, C4, C5, C6, C7, C9, C10 — dettaglio in Da chiarire.</t>
  </si>
  <si>
    <t>Esito controlli C1–C10 (METODO §5)</t>
  </si>
  <si>
    <t>ID</t>
  </si>
  <si>
    <t>Controllo</t>
  </si>
  <si>
    <t>Misurato</t>
  </si>
  <si>
    <t>Atteso</t>
  </si>
  <si>
    <t>Scostamento</t>
  </si>
  <si>
    <t>Esito</t>
  </si>
  <si>
    <t>C1</t>
  </si>
  <si>
    <t>Completezza banca</t>
  </si>
  <si>
    <t>FAIL</t>
  </si>
  <si>
    <t>C2</t>
  </si>
  <si>
    <t>Quadratura banca</t>
  </si>
  <si>
    <t>C3</t>
  </si>
  <si>
    <t>Continuità saldo</t>
  </si>
  <si>
    <t>C4</t>
  </si>
  <si>
    <t>Incassi e corrispettivi</t>
  </si>
  <si>
    <t>C5</t>
  </si>
  <si>
    <t>Coerenza documenti</t>
  </si>
  <si>
    <t>C6</t>
  </si>
  <si>
    <t>Nessuno storno tecnico</t>
  </si>
  <si>
    <t>C7</t>
  </si>
  <si>
    <t>Identificazione fornitori</t>
  </si>
  <si>
    <t>C8</t>
  </si>
  <si>
    <t>Mastri ammessi</t>
  </si>
  <si>
    <t>OK</t>
  </si>
  <si>
    <t>C9</t>
  </si>
  <si>
    <t>Partite di giro</t>
  </si>
  <si>
    <t>C10</t>
  </si>
  <si>
    <t>Doppia gamba transito</t>
  </si>
  <si>
    <t>§8.3 Certezza aliquota IVA (lordo per stato)</t>
  </si>
  <si>
    <t>Stato</t>
  </si>
  <si>
    <t>Importo lordo EUR</t>
  </si>
  <si>
    <t>Nota</t>
  </si>
  <si>
    <t>Determinata</t>
  </si>
  <si>
    <t>da Product.vatRatePercent</t>
  </si>
  <si>
    <t>Presunta</t>
  </si>
  <si>
    <t>unica regola METODO §8.3 (.eu ≤ 01/07/2026)</t>
  </si>
  <si>
    <t>Mancante (esclusa da IVA)</t>
  </si>
  <si>
    <t>vedi foglio Da chiarire</t>
  </si>
  <si>
    <t>Raccordo finanziario (sintesi)</t>
  </si>
  <si>
    <t>Saldo banca a inizio periodo (dichiarato)</t>
  </si>
  <si>
    <t>1° trimestre Fineco.pdf</t>
  </si>
  <si>
    <t>Totale entrate</t>
  </si>
  <si>
    <t>estratto</t>
  </si>
  <si>
    <t>Totale uscite</t>
  </si>
  <si>
    <t>Saldo calcolato</t>
  </si>
  <si>
    <t>inizio + entrate − uscite</t>
  </si>
  <si>
    <t>Saldo banca a fine periodo (dichiarato)</t>
  </si>
  <si>
    <t>Differenza (C3)</t>
  </si>
  <si>
    <t>se saldi assenti → non verificabile</t>
  </si>
  <si>
    <t>Tracciabilità (§12)</t>
  </si>
  <si>
    <t>Generato: 2026-09-09T17:07:09.402Z</t>
  </si>
  <si>
    <t>Metodo: v1.9</t>
  </si>
  <si>
    <t>Periodo: T1 2026</t>
  </si>
  <si>
    <t>Fonte estratto: 1° trimestre Fineco.pdf</t>
  </si>
  <si>
    <t>Imponibile Acquisti: € 4468,35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</si>
</sst>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11" x14ac:knownFonts="1">
    <font>
      <color theme="1"/>
      <family val="2"/>
      <scheme val="minor"/>
      <sz val="11"/>
      <name val="Calibri"/>
    </font>
    <font>
      <b/>
      <color rgb="FF1E3A5F"/>
      <sz val="11"/>
      <name val="Calibri"/>
    </font>
    <font>
      <sz val="10"/>
      <name val="Calibri"/>
    </font>
    <font>
      <b/>
      <color rgb="FFB91C1C"/>
      <sz val="10"/>
      <name val="Calibri"/>
    </font>
    <font>
      <b/>
      <color rgb="FFB91C1C"/>
      <sz val="13"/>
      <name val="Calibri"/>
    </font>
    <font>
      <b/>
      <sz val="12"/>
      <name val="Calibri"/>
    </font>
    <font>
      <color rgb="FFB91C1C"/>
      <sz val="10"/>
      <name val="Calibri"/>
    </font>
    <font>
      <color rgb="FF047857"/>
      <sz val="10"/>
      <name val="Calibri"/>
    </font>
    <font>
      <i/>
      <color rgb="FF64748B"/>
      <sz val="9"/>
      <name val="Calibri"/>
    </font>
    <font>
      <b/>
      <color rgb="FFB91C1C"/>
      <sz val="14"/>
      <name val="Calibri"/>
    </font>
    <font>
      <b/>
      <sz val="11"/>
      <name val="Calibri"/>
    </font>
  </fonts>
  <fills count="4">
    <fill>
      <patternFill patternType="none"/>
    </fill>
    <fill>
      <patternFill patternType="gray125"/>
    </fill>
    <fill>
      <patternFill patternType="solid">
        <fgColor rgb="FFDBEAFE"/>
      </patternFill>
    </fill>
    <fill>
      <patternFill patternType="solid">
        <fgColor rgb="FFF1F5F9"/>
      </patternFill>
    </fill>
  </fills>
  <borders count="2">
    <border>
      <left/>
      <right/>
      <top/>
      <bottom/>
      <diagonal/>
    </border>
    <border>
      <left style="thin">
        <color rgb="FFD6D3D1"/>
      </left>
      <right style="thin">
        <color rgb="FFD6D3D1"/>
      </right>
      <top style="thin">
        <color rgb="FFD6D3D1"/>
      </top>
      <bottom style="thin">
        <color rgb="FFD6D3D1"/>
      </bottom>
      <diagonal/>
    </border>
  </borders>
  <cellStyleXfs count="1">
    <xf numFmtId="0" fontId="0" fillId="0" borderId="0"/>
  </cellStyleXfs>
  <cellXfs count="14">
    <xf numFmtId="0" fontId="0" fillId="0" borderId="0" xfId="0"/>
    <xf numFmtId="0" fontId="1" fillId="2" borderId="1" xfId="0" applyFont="1" applyFill="1" applyBorder="1" applyAlignment="1">
      <alignment vertical="center" wrapText="1"/>
    </xf>
    <xf numFmtId="0" fontId="2" fillId="0" borderId="1" xfId="0" applyFont="1" applyBorder="1"/>
    <xf numFmtId="164" fontId="2" fillId="0" borderId="1" xfId="0" applyNumberFormat="1" applyFont="1" applyBorder="1"/>
    <xf numFmtId="0" fontId="3" fillId="0" borderId="1" xfId="0" applyFont="1" applyBorder="1"/>
    <xf numFmtId="0" fontId="2" fillId="3" borderId="1" xfId="0" applyFont="1" applyFill="1" applyBorder="1"/>
    <xf numFmtId="164" fontId="2" fillId="3" borderId="1" xfId="0" applyNumberFormat="1" applyFont="1" applyFill="1" applyBorder="1"/>
    <xf numFmtId="0" fontId="4" fillId="0" borderId="0" xfId="0" applyFont="1"/>
    <xf numFmtId="0" fontId="5" fillId="0" borderId="0" xfId="0" applyFont="1"/>
    <xf numFmtId="164" fontId="6" fillId="0" borderId="1" xfId="0" applyNumberFormat="1" applyFont="1" applyBorder="1"/>
    <xf numFmtId="164" fontId="7" fillId="0" borderId="1" xfId="0" applyNumberFormat="1" applyFont="1" applyBorder="1"/>
    <xf numFmtId="0" fontId="8" fillId="0" borderId="0" xfId="0" applyFont="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29" customWidth="1"/>
    <col min="4" max="4" width="15" customWidth="1"/>
    <col min="5" max="5" width="29" customWidth="1"/>
    <col min="6" max="6" width="12" customWidth="1"/>
    <col min="7" max="7" width="16" customWidth="1"/>
    <col min="8" max="9" width="17" customWidth="1"/>
  </cols>
  <sheetData>
    <row r="1" ht="24" customHeight="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t="s">
        <v>12</v>
      </c>
      <c r="E2" s="3">
        <v>0.09</v>
      </c>
      <c r="F2" s="2" t="s">
        <v>12</v>
      </c>
      <c r="G2" s="4" t="s">
        <v>13</v>
      </c>
      <c r="H2" s="3" t="s">
        <v>12</v>
      </c>
      <c r="I2" s="3" t="s">
        <v>12</v>
      </c>
    </row>
    <row r="3" spans="1:9" x14ac:dyDescent="0.25">
      <c r="A3" s="2" t="s">
        <v>14</v>
      </c>
      <c r="B3" s="2" t="s">
        <v>10</v>
      </c>
      <c r="C3" s="2" t="s">
        <v>15</v>
      </c>
      <c r="D3" s="2" t="s">
        <v>12</v>
      </c>
      <c r="E3" s="3">
        <v>39.99</v>
      </c>
      <c r="F3" s="2" t="s">
        <v>12</v>
      </c>
      <c r="G3" s="4" t="s">
        <v>13</v>
      </c>
      <c r="H3" s="3" t="s">
        <v>12</v>
      </c>
      <c r="I3" s="3" t="s">
        <v>12</v>
      </c>
    </row>
    <row r="4" spans="1:9" x14ac:dyDescent="0.25">
      <c r="A4" s="2" t="s">
        <v>16</v>
      </c>
      <c r="B4" s="2" t="s">
        <v>17</v>
      </c>
      <c r="C4" s="2" t="s">
        <v>18</v>
      </c>
      <c r="D4" s="2" t="s">
        <v>12</v>
      </c>
      <c r="E4" s="3">
        <v>39.99</v>
      </c>
      <c r="F4" s="2">
        <v>10</v>
      </c>
      <c r="G4" s="2" t="s">
        <v>19</v>
      </c>
      <c r="H4" s="3">
        <v>36.35</v>
      </c>
      <c r="I4" s="3">
        <v>3.64</v>
      </c>
    </row>
    <row r="5" spans="1:9" x14ac:dyDescent="0.25">
      <c r="A5" s="2" t="s">
        <v>20</v>
      </c>
      <c r="B5" s="2" t="s">
        <v>10</v>
      </c>
      <c r="C5" s="2" t="s">
        <v>21</v>
      </c>
      <c r="D5" s="2" t="s">
        <v>12</v>
      </c>
      <c r="E5" s="3">
        <v>29.99</v>
      </c>
      <c r="F5" s="2" t="s">
        <v>12</v>
      </c>
      <c r="G5" s="4" t="s">
        <v>13</v>
      </c>
      <c r="H5" s="3" t="s">
        <v>12</v>
      </c>
      <c r="I5" s="3" t="s">
        <v>12</v>
      </c>
    </row>
    <row r="6" spans="1:9" x14ac:dyDescent="0.25">
      <c r="A6" s="2" t="s">
        <v>22</v>
      </c>
      <c r="B6" s="2" t="s">
        <v>10</v>
      </c>
      <c r="C6" s="2" t="s">
        <v>23</v>
      </c>
      <c r="D6" s="2" t="s">
        <v>12</v>
      </c>
      <c r="E6" s="3">
        <v>29.99</v>
      </c>
      <c r="F6" s="2" t="s">
        <v>12</v>
      </c>
      <c r="G6" s="4" t="s">
        <v>13</v>
      </c>
      <c r="H6" s="3" t="s">
        <v>12</v>
      </c>
      <c r="I6" s="3" t="s">
        <v>12</v>
      </c>
    </row>
    <row r="7" spans="1:9" x14ac:dyDescent="0.25">
      <c r="A7" s="2" t="s">
        <v>22</v>
      </c>
      <c r="B7" s="2" t="s">
        <v>17</v>
      </c>
      <c r="C7" s="2" t="s">
        <v>24</v>
      </c>
      <c r="D7" s="2" t="s">
        <v>12</v>
      </c>
      <c r="E7" s="3">
        <v>40.97</v>
      </c>
      <c r="F7" s="2">
        <v>10</v>
      </c>
      <c r="G7" s="2" t="s">
        <v>19</v>
      </c>
      <c r="H7" s="3">
        <v>37.25</v>
      </c>
      <c r="I7" s="3">
        <v>3.72</v>
      </c>
    </row>
    <row r="8" spans="1:9" x14ac:dyDescent="0.25">
      <c r="A8" s="2" t="s">
        <v>25</v>
      </c>
      <c r="B8" s="2" t="s">
        <v>10</v>
      </c>
      <c r="C8" s="2" t="s">
        <v>26</v>
      </c>
      <c r="D8" s="2" t="s">
        <v>12</v>
      </c>
      <c r="E8" s="3">
        <v>39.99</v>
      </c>
      <c r="F8" s="2" t="s">
        <v>12</v>
      </c>
      <c r="G8" s="4" t="s">
        <v>13</v>
      </c>
      <c r="H8" s="3" t="s">
        <v>12</v>
      </c>
      <c r="I8" s="3" t="s">
        <v>12</v>
      </c>
    </row>
    <row r="9" spans="1:9" x14ac:dyDescent="0.25">
      <c r="A9" s="2" t="s">
        <v>27</v>
      </c>
      <c r="B9" s="2" t="s">
        <v>10</v>
      </c>
      <c r="C9" s="2" t="s">
        <v>28</v>
      </c>
      <c r="D9" s="2" t="s">
        <v>12</v>
      </c>
      <c r="E9" s="3">
        <v>-18.85</v>
      </c>
      <c r="F9" s="2" t="s">
        <v>12</v>
      </c>
      <c r="G9" s="4" t="s">
        <v>13</v>
      </c>
      <c r="H9" s="3" t="s">
        <v>12</v>
      </c>
      <c r="I9" s="3" t="s">
        <v>12</v>
      </c>
    </row>
    <row r="10" spans="1:9" x14ac:dyDescent="0.25">
      <c r="A10" s="2" t="s">
        <v>29</v>
      </c>
      <c r="B10" s="2" t="s">
        <v>10</v>
      </c>
      <c r="C10" s="2" t="s">
        <v>30</v>
      </c>
      <c r="D10" s="2" t="s">
        <v>12</v>
      </c>
      <c r="E10" s="3">
        <v>29.99</v>
      </c>
      <c r="F10" s="2" t="s">
        <v>12</v>
      </c>
      <c r="G10" s="4" t="s">
        <v>13</v>
      </c>
      <c r="H10" s="3" t="s">
        <v>12</v>
      </c>
      <c r="I10" s="3" t="s">
        <v>12</v>
      </c>
    </row>
    <row r="11" spans="1:9" x14ac:dyDescent="0.25">
      <c r="A11" s="2" t="s">
        <v>31</v>
      </c>
      <c r="B11" s="2" t="s">
        <v>10</v>
      </c>
      <c r="C11" s="2" t="s">
        <v>32</v>
      </c>
      <c r="D11" s="2" t="s">
        <v>12</v>
      </c>
      <c r="E11" s="3">
        <v>0.09</v>
      </c>
      <c r="F11" s="2" t="s">
        <v>12</v>
      </c>
      <c r="G11" s="4" t="s">
        <v>13</v>
      </c>
      <c r="H11" s="3" t="s">
        <v>12</v>
      </c>
      <c r="I11" s="3" t="s">
        <v>12</v>
      </c>
    </row>
    <row r="12" spans="1:9" x14ac:dyDescent="0.25">
      <c r="A12" s="2" t="s">
        <v>33</v>
      </c>
      <c r="B12" s="2" t="s">
        <v>17</v>
      </c>
      <c r="C12" s="2" t="s">
        <v>34</v>
      </c>
      <c r="D12" s="2" t="s">
        <v>12</v>
      </c>
      <c r="E12" s="3">
        <v>39.99</v>
      </c>
      <c r="F12" s="2">
        <v>10</v>
      </c>
      <c r="G12" s="2" t="s">
        <v>19</v>
      </c>
      <c r="H12" s="3">
        <v>36.35</v>
      </c>
      <c r="I12" s="3">
        <v>3.64</v>
      </c>
    </row>
    <row r="13" spans="1:9" x14ac:dyDescent="0.25">
      <c r="A13" s="2" t="s">
        <v>35</v>
      </c>
      <c r="B13" s="2" t="s">
        <v>10</v>
      </c>
      <c r="C13" s="2" t="s">
        <v>36</v>
      </c>
      <c r="D13" s="2" t="s">
        <v>12</v>
      </c>
      <c r="E13" s="3">
        <v>29.99</v>
      </c>
      <c r="F13" s="2" t="s">
        <v>12</v>
      </c>
      <c r="G13" s="4" t="s">
        <v>13</v>
      </c>
      <c r="H13" s="3" t="s">
        <v>12</v>
      </c>
      <c r="I13" s="3" t="s">
        <v>12</v>
      </c>
    </row>
    <row r="14" spans="1:9" x14ac:dyDescent="0.25">
      <c r="A14" s="2" t="s">
        <v>37</v>
      </c>
      <c r="B14" s="2" t="s">
        <v>10</v>
      </c>
      <c r="C14" s="2" t="s">
        <v>38</v>
      </c>
      <c r="D14" s="2" t="s">
        <v>12</v>
      </c>
      <c r="E14" s="3">
        <v>0.13</v>
      </c>
      <c r="F14" s="2" t="s">
        <v>12</v>
      </c>
      <c r="G14" s="4" t="s">
        <v>13</v>
      </c>
      <c r="H14" s="3" t="s">
        <v>12</v>
      </c>
      <c r="I14" s="3" t="s">
        <v>12</v>
      </c>
    </row>
    <row r="15" spans="1:9" x14ac:dyDescent="0.25">
      <c r="A15" s="2" t="s">
        <v>39</v>
      </c>
      <c r="B15" s="2" t="s">
        <v>17</v>
      </c>
      <c r="C15" s="2" t="s">
        <v>40</v>
      </c>
      <c r="D15" s="2" t="s">
        <v>12</v>
      </c>
      <c r="E15" s="3">
        <v>29.99</v>
      </c>
      <c r="F15" s="2">
        <v>10</v>
      </c>
      <c r="G15" s="2" t="s">
        <v>19</v>
      </c>
      <c r="H15" s="3">
        <v>27.26</v>
      </c>
      <c r="I15" s="3">
        <v>2.73</v>
      </c>
    </row>
    <row r="16" spans="1:9" x14ac:dyDescent="0.25">
      <c r="A16" s="2" t="s">
        <v>41</v>
      </c>
      <c r="B16" s="2" t="s">
        <v>17</v>
      </c>
      <c r="C16" s="2" t="s">
        <v>42</v>
      </c>
      <c r="D16" s="2" t="s">
        <v>12</v>
      </c>
      <c r="E16" s="3">
        <v>39.99</v>
      </c>
      <c r="F16" s="2">
        <v>10</v>
      </c>
      <c r="G16" s="2" t="s">
        <v>19</v>
      </c>
      <c r="H16" s="3">
        <v>36.35</v>
      </c>
      <c r="I16" s="3">
        <v>3.64</v>
      </c>
    </row>
    <row r="17" spans="1:9" x14ac:dyDescent="0.25">
      <c r="A17" s="2" t="s">
        <v>43</v>
      </c>
      <c r="B17" s="2" t="s">
        <v>17</v>
      </c>
      <c r="C17" s="2" t="s">
        <v>44</v>
      </c>
      <c r="D17" s="2" t="s">
        <v>12</v>
      </c>
      <c r="E17" s="3">
        <v>144.98</v>
      </c>
      <c r="F17" s="2">
        <v>10</v>
      </c>
      <c r="G17" s="2" t="s">
        <v>19</v>
      </c>
      <c r="H17" s="3">
        <v>131.8</v>
      </c>
      <c r="I17" s="3">
        <v>13.18</v>
      </c>
    </row>
    <row r="18" spans="1:9" x14ac:dyDescent="0.25">
      <c r="A18" s="2" t="s">
        <v>45</v>
      </c>
      <c r="B18" s="2" t="s">
        <v>10</v>
      </c>
      <c r="C18" s="2" t="s">
        <v>46</v>
      </c>
      <c r="D18" s="2" t="s">
        <v>12</v>
      </c>
      <c r="E18" s="3">
        <v>49.99</v>
      </c>
      <c r="F18" s="2" t="s">
        <v>12</v>
      </c>
      <c r="G18" s="4" t="s">
        <v>13</v>
      </c>
      <c r="H18" s="3" t="s">
        <v>12</v>
      </c>
      <c r="I18" s="3" t="s">
        <v>12</v>
      </c>
    </row>
    <row r="19" spans="1:9" x14ac:dyDescent="0.25">
      <c r="A19" s="2" t="s">
        <v>47</v>
      </c>
      <c r="B19" s="2" t="s">
        <v>10</v>
      </c>
      <c r="C19" s="2" t="s">
        <v>48</v>
      </c>
      <c r="D19" s="2" t="s">
        <v>12</v>
      </c>
      <c r="E19" s="3">
        <v>72.48</v>
      </c>
      <c r="F19" s="2" t="s">
        <v>12</v>
      </c>
      <c r="G19" s="4" t="s">
        <v>13</v>
      </c>
      <c r="H19" s="3" t="s">
        <v>12</v>
      </c>
      <c r="I19" s="3" t="s">
        <v>12</v>
      </c>
    </row>
    <row r="20" spans="1:9" x14ac:dyDescent="0.25">
      <c r="A20" s="2" t="s">
        <v>47</v>
      </c>
      <c r="B20" s="2" t="s">
        <v>17</v>
      </c>
      <c r="C20" s="2" t="s">
        <v>49</v>
      </c>
      <c r="D20" s="2" t="s">
        <v>12</v>
      </c>
      <c r="E20" s="3">
        <v>69.98</v>
      </c>
      <c r="F20" s="2">
        <v>10</v>
      </c>
      <c r="G20" s="2" t="s">
        <v>19</v>
      </c>
      <c r="H20" s="3">
        <v>63.62</v>
      </c>
      <c r="I20" s="3">
        <v>6.36</v>
      </c>
    </row>
    <row r="21" spans="1:9" x14ac:dyDescent="0.25">
      <c r="A21" s="2" t="s">
        <v>50</v>
      </c>
      <c r="B21" s="2" t="s">
        <v>17</v>
      </c>
      <c r="C21" s="2" t="s">
        <v>51</v>
      </c>
      <c r="D21" s="2" t="s">
        <v>12</v>
      </c>
      <c r="E21" s="3">
        <v>39.99</v>
      </c>
      <c r="F21" s="2">
        <v>10</v>
      </c>
      <c r="G21" s="2" t="s">
        <v>19</v>
      </c>
      <c r="H21" s="3">
        <v>36.35</v>
      </c>
      <c r="I21" s="3">
        <v>3.64</v>
      </c>
    </row>
    <row r="22" spans="1:9" x14ac:dyDescent="0.25">
      <c r="A22" s="2" t="s">
        <v>52</v>
      </c>
      <c r="B22" s="2" t="s">
        <v>17</v>
      </c>
      <c r="C22" s="2" t="s">
        <v>53</v>
      </c>
      <c r="D22" s="2" t="s">
        <v>12</v>
      </c>
      <c r="E22" s="3">
        <v>34.99</v>
      </c>
      <c r="F22" s="2">
        <v>10</v>
      </c>
      <c r="G22" s="2" t="s">
        <v>19</v>
      </c>
      <c r="H22" s="3">
        <v>31.81</v>
      </c>
      <c r="I22" s="3">
        <v>3.18</v>
      </c>
    </row>
    <row r="23" spans="1:9" x14ac:dyDescent="0.25">
      <c r="A23" s="2" t="s">
        <v>54</v>
      </c>
      <c r="B23" s="2" t="s">
        <v>10</v>
      </c>
      <c r="C23" s="2" t="s">
        <v>55</v>
      </c>
      <c r="D23" s="2" t="s">
        <v>12</v>
      </c>
      <c r="E23" s="3">
        <v>29.99</v>
      </c>
      <c r="F23" s="2" t="s">
        <v>12</v>
      </c>
      <c r="G23" s="4" t="s">
        <v>13</v>
      </c>
      <c r="H23" s="3" t="s">
        <v>12</v>
      </c>
      <c r="I23" s="3" t="s">
        <v>12</v>
      </c>
    </row>
    <row r="24" spans="1:9" x14ac:dyDescent="0.25">
      <c r="A24" s="2" t="s">
        <v>56</v>
      </c>
      <c r="B24" s="2" t="s">
        <v>10</v>
      </c>
      <c r="C24" s="2" t="s">
        <v>57</v>
      </c>
      <c r="D24" s="2" t="s">
        <v>12</v>
      </c>
      <c r="E24" s="3">
        <v>29.99</v>
      </c>
      <c r="F24" s="2" t="s">
        <v>12</v>
      </c>
      <c r="G24" s="4" t="s">
        <v>13</v>
      </c>
      <c r="H24" s="3" t="s">
        <v>12</v>
      </c>
      <c r="I24" s="3" t="s">
        <v>12</v>
      </c>
    </row>
    <row r="25" spans="1:9" x14ac:dyDescent="0.25">
      <c r="A25" s="2" t="s">
        <v>58</v>
      </c>
      <c r="B25" s="2" t="s">
        <v>17</v>
      </c>
      <c r="C25" s="2" t="s">
        <v>59</v>
      </c>
      <c r="D25" s="2" t="s">
        <v>12</v>
      </c>
      <c r="E25" s="3">
        <v>29.99</v>
      </c>
      <c r="F25" s="2">
        <v>10</v>
      </c>
      <c r="G25" s="2" t="s">
        <v>19</v>
      </c>
      <c r="H25" s="3">
        <v>27.26</v>
      </c>
      <c r="I25" s="3">
        <v>2.73</v>
      </c>
    </row>
    <row r="26" spans="1:9" x14ac:dyDescent="0.25">
      <c r="A26" s="2" t="s">
        <v>60</v>
      </c>
      <c r="B26" s="2" t="s">
        <v>17</v>
      </c>
      <c r="C26" s="2" t="s">
        <v>61</v>
      </c>
      <c r="D26" s="2" t="s">
        <v>12</v>
      </c>
      <c r="E26" s="3">
        <v>144.98</v>
      </c>
      <c r="F26" s="2">
        <v>10</v>
      </c>
      <c r="G26" s="2" t="s">
        <v>19</v>
      </c>
      <c r="H26" s="3">
        <v>131.8</v>
      </c>
      <c r="I26" s="3">
        <v>13.18</v>
      </c>
    </row>
    <row r="27" spans="1:9" x14ac:dyDescent="0.25">
      <c r="D27" s="5" t="s">
        <v>62</v>
      </c>
      <c r="E27" s="6">
        <f>SUM(E2:E26)</f>
      </c>
      <c r="H27" s="6">
        <f>SUM(H2:H26)</f>
      </c>
      <c r="I27" s="6">
        <f>SUM(I2:I26)</f>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15" customWidth="1"/>
    <col min="3" max="3" width="23" customWidth="1"/>
    <col min="4" max="4" width="27" customWidth="1"/>
    <col min="5" max="5" width="12" customWidth="1"/>
    <col min="6" max="6" width="17" customWidth="1"/>
    <col min="7" max="7" width="12" customWidth="1"/>
    <col min="8" max="8" width="17" customWidth="1"/>
  </cols>
  <sheetData>
    <row r="1" ht="24" customHeight="1" spans="1:8" x14ac:dyDescent="0.25">
      <c r="A1" s="1" t="s">
        <v>63</v>
      </c>
      <c r="B1" s="1" t="s">
        <v>64</v>
      </c>
      <c r="C1" s="1" t="s">
        <v>65</v>
      </c>
      <c r="D1" s="1" t="s">
        <v>66</v>
      </c>
      <c r="E1" s="1" t="s">
        <v>0</v>
      </c>
      <c r="F1" s="1" t="s">
        <v>7</v>
      </c>
      <c r="G1" s="1" t="s">
        <v>5</v>
      </c>
      <c r="H1" s="1" t="s">
        <v>8</v>
      </c>
    </row>
    <row r="2" spans="1:8" x14ac:dyDescent="0.25">
      <c r="A2" s="2" t="s">
        <v>67</v>
      </c>
      <c r="B2" s="2" t="s">
        <v>68</v>
      </c>
      <c r="C2" s="2" t="s">
        <v>69</v>
      </c>
      <c r="D2" s="2" t="s">
        <v>70</v>
      </c>
      <c r="E2" s="2" t="s">
        <v>71</v>
      </c>
      <c r="F2" s="3">
        <v>1.35</v>
      </c>
      <c r="G2" s="2">
        <v>22</v>
      </c>
      <c r="H2" s="3">
        <v>0.3</v>
      </c>
    </row>
    <row r="3" spans="1:8" x14ac:dyDescent="0.25">
      <c r="A3" s="2" t="s">
        <v>72</v>
      </c>
      <c r="B3" s="2" t="s">
        <v>73</v>
      </c>
      <c r="C3" s="2" t="s">
        <v>74</v>
      </c>
      <c r="D3" s="2" t="s">
        <v>75</v>
      </c>
      <c r="E3" s="2" t="s">
        <v>76</v>
      </c>
      <c r="F3" s="3">
        <v>25</v>
      </c>
      <c r="G3" s="2">
        <v>22</v>
      </c>
      <c r="H3" s="3">
        <v>4.51</v>
      </c>
    </row>
    <row r="4" spans="1:8" x14ac:dyDescent="0.25">
      <c r="A4" s="2" t="s">
        <v>77</v>
      </c>
      <c r="B4" s="2" t="s">
        <v>78</v>
      </c>
      <c r="C4" s="2" t="s">
        <v>74</v>
      </c>
      <c r="D4" s="2" t="s">
        <v>79</v>
      </c>
      <c r="E4" s="2" t="s">
        <v>80</v>
      </c>
      <c r="F4" s="3">
        <v>24.55</v>
      </c>
      <c r="G4" s="2">
        <v>10.02</v>
      </c>
      <c r="H4" s="3">
        <v>2.46</v>
      </c>
    </row>
    <row r="5" spans="1:8" x14ac:dyDescent="0.25">
      <c r="A5" s="2" t="s">
        <v>81</v>
      </c>
      <c r="B5" s="2" t="s">
        <v>82</v>
      </c>
      <c r="C5" s="2" t="s">
        <v>74</v>
      </c>
      <c r="D5" s="2" t="s">
        <v>83</v>
      </c>
      <c r="E5" s="2" t="s">
        <v>84</v>
      </c>
      <c r="F5" s="3">
        <v>54.55</v>
      </c>
      <c r="G5" s="2">
        <v>10.01</v>
      </c>
      <c r="H5" s="3">
        <v>5.46</v>
      </c>
    </row>
    <row r="6" spans="1:8" x14ac:dyDescent="0.25">
      <c r="A6" s="2" t="s">
        <v>85</v>
      </c>
      <c r="B6" s="2" t="s">
        <v>68</v>
      </c>
      <c r="C6" s="2" t="s">
        <v>69</v>
      </c>
      <c r="D6" s="2" t="s">
        <v>86</v>
      </c>
      <c r="E6" s="2" t="s">
        <v>87</v>
      </c>
      <c r="F6" s="3">
        <v>2.01</v>
      </c>
      <c r="G6" s="2">
        <v>21.82</v>
      </c>
      <c r="H6" s="3">
        <v>0</v>
      </c>
    </row>
    <row r="7" spans="1:8" x14ac:dyDescent="0.25">
      <c r="A7" s="2" t="s">
        <v>88</v>
      </c>
      <c r="B7" s="2" t="s">
        <v>89</v>
      </c>
      <c r="C7" s="2" t="s">
        <v>69</v>
      </c>
      <c r="D7" s="2" t="s">
        <v>90</v>
      </c>
      <c r="E7" s="2" t="s">
        <v>87</v>
      </c>
      <c r="F7" s="3">
        <v>23</v>
      </c>
      <c r="G7" s="2">
        <v>22.02</v>
      </c>
      <c r="H7" s="3">
        <v>0</v>
      </c>
    </row>
    <row r="8" spans="1:8" x14ac:dyDescent="0.25">
      <c r="A8" s="2" t="s">
        <v>85</v>
      </c>
      <c r="B8" s="2" t="s">
        <v>68</v>
      </c>
      <c r="C8" s="2" t="s">
        <v>69</v>
      </c>
      <c r="D8" s="2" t="s">
        <v>91</v>
      </c>
      <c r="E8" s="2" t="s">
        <v>87</v>
      </c>
      <c r="F8" s="3">
        <v>2.7</v>
      </c>
      <c r="G8" s="2">
        <v>22.17</v>
      </c>
      <c r="H8" s="3">
        <v>0</v>
      </c>
    </row>
    <row r="9" spans="1:8" x14ac:dyDescent="0.25">
      <c r="A9" s="2" t="s">
        <v>92</v>
      </c>
      <c r="B9" s="2" t="s">
        <v>93</v>
      </c>
      <c r="C9" s="2" t="s">
        <v>74</v>
      </c>
      <c r="D9" s="2" t="s">
        <v>94</v>
      </c>
      <c r="E9" s="2" t="s">
        <v>87</v>
      </c>
      <c r="F9" s="3">
        <v>22.73</v>
      </c>
      <c r="G9" s="2">
        <v>9.99</v>
      </c>
      <c r="H9" s="3">
        <v>2.27</v>
      </c>
    </row>
    <row r="10" spans="1:8" x14ac:dyDescent="0.25">
      <c r="A10" s="2" t="s">
        <v>95</v>
      </c>
      <c r="B10" s="2" t="s">
        <v>96</v>
      </c>
      <c r="C10" s="2" t="s">
        <v>69</v>
      </c>
      <c r="D10" s="2" t="s">
        <v>97</v>
      </c>
      <c r="E10" s="2" t="s">
        <v>87</v>
      </c>
      <c r="F10" s="3">
        <v>4.45</v>
      </c>
      <c r="G10" s="2">
        <v>22</v>
      </c>
      <c r="H10" s="3">
        <v>0.98</v>
      </c>
    </row>
    <row r="11" spans="1:8" x14ac:dyDescent="0.25">
      <c r="A11" s="2" t="s">
        <v>67</v>
      </c>
      <c r="B11" s="2" t="s">
        <v>68</v>
      </c>
      <c r="C11" s="2" t="s">
        <v>69</v>
      </c>
      <c r="D11" s="2" t="s">
        <v>98</v>
      </c>
      <c r="E11" s="2" t="s">
        <v>87</v>
      </c>
      <c r="F11" s="3">
        <v>1.81</v>
      </c>
      <c r="G11" s="2">
        <v>22</v>
      </c>
      <c r="H11" s="3">
        <v>0.4</v>
      </c>
    </row>
    <row r="12" spans="1:8" x14ac:dyDescent="0.25">
      <c r="A12" s="2" t="s">
        <v>99</v>
      </c>
      <c r="B12" s="2" t="s">
        <v>100</v>
      </c>
      <c r="C12" s="2" t="s">
        <v>74</v>
      </c>
      <c r="D12" s="2" t="s">
        <v>101</v>
      </c>
      <c r="E12" s="2" t="s">
        <v>102</v>
      </c>
      <c r="F12" s="3">
        <v>18.18</v>
      </c>
      <c r="G12" s="2">
        <v>10</v>
      </c>
      <c r="H12" s="3">
        <v>1.82</v>
      </c>
    </row>
    <row r="13" spans="1:8" x14ac:dyDescent="0.25">
      <c r="A13" s="2" t="s">
        <v>103</v>
      </c>
      <c r="B13" s="2" t="s">
        <v>104</v>
      </c>
      <c r="C13" s="2" t="s">
        <v>74</v>
      </c>
      <c r="D13" s="2" t="s">
        <v>105</v>
      </c>
      <c r="E13" s="2" t="s">
        <v>106</v>
      </c>
      <c r="F13" s="3">
        <v>22.73</v>
      </c>
      <c r="G13" s="2">
        <v>9.99</v>
      </c>
      <c r="H13" s="3">
        <v>2.27</v>
      </c>
    </row>
    <row r="14" spans="1:8" x14ac:dyDescent="0.25">
      <c r="A14" s="2" t="s">
        <v>107</v>
      </c>
      <c r="B14" s="2" t="s">
        <v>108</v>
      </c>
      <c r="C14" s="2" t="s">
        <v>74</v>
      </c>
      <c r="D14" s="2" t="s">
        <v>109</v>
      </c>
      <c r="E14" s="2" t="s">
        <v>31</v>
      </c>
      <c r="F14" s="3">
        <v>36.36</v>
      </c>
      <c r="G14" s="2">
        <v>10.01</v>
      </c>
      <c r="H14" s="3">
        <v>3.64</v>
      </c>
    </row>
    <row r="15" spans="1:8" x14ac:dyDescent="0.25">
      <c r="A15" s="2" t="s">
        <v>110</v>
      </c>
      <c r="B15" s="2" t="s">
        <v>111</v>
      </c>
      <c r="C15" s="2" t="s">
        <v>74</v>
      </c>
      <c r="D15" s="2" t="s">
        <v>112</v>
      </c>
      <c r="E15" s="2" t="s">
        <v>113</v>
      </c>
      <c r="F15" s="3">
        <v>558.6</v>
      </c>
      <c r="G15" s="2">
        <v>22</v>
      </c>
      <c r="H15" s="3">
        <v>122.89</v>
      </c>
    </row>
    <row r="16" spans="1:8" x14ac:dyDescent="0.25">
      <c r="A16" s="2" t="s">
        <v>114</v>
      </c>
      <c r="B16" s="2" t="s">
        <v>12</v>
      </c>
      <c r="C16" s="2" t="s">
        <v>69</v>
      </c>
      <c r="D16" s="2" t="s">
        <v>115</v>
      </c>
      <c r="E16" s="2" t="s">
        <v>113</v>
      </c>
      <c r="F16" s="3">
        <v>25.42</v>
      </c>
      <c r="G16" s="2">
        <v>22</v>
      </c>
      <c r="H16" s="3">
        <v>5.59</v>
      </c>
    </row>
    <row r="17" spans="1:8" x14ac:dyDescent="0.25">
      <c r="A17" s="2" t="s">
        <v>81</v>
      </c>
      <c r="B17" s="2" t="s">
        <v>82</v>
      </c>
      <c r="C17" s="2" t="s">
        <v>74</v>
      </c>
      <c r="D17" s="2" t="s">
        <v>116</v>
      </c>
      <c r="E17" s="2" t="s">
        <v>117</v>
      </c>
      <c r="F17" s="3">
        <v>18.18</v>
      </c>
      <c r="G17" s="2">
        <v>10.01</v>
      </c>
      <c r="H17" s="3">
        <v>1.82</v>
      </c>
    </row>
    <row r="18" spans="1:8" x14ac:dyDescent="0.25">
      <c r="A18" s="2" t="s">
        <v>99</v>
      </c>
      <c r="B18" s="2" t="s">
        <v>100</v>
      </c>
      <c r="C18" s="2" t="s">
        <v>74</v>
      </c>
      <c r="D18" s="2" t="s">
        <v>118</v>
      </c>
      <c r="E18" s="2" t="s">
        <v>117</v>
      </c>
      <c r="F18" s="3">
        <v>18.18</v>
      </c>
      <c r="G18" s="2">
        <v>10</v>
      </c>
      <c r="H18" s="3">
        <v>1.82</v>
      </c>
    </row>
    <row r="19" spans="1:8" x14ac:dyDescent="0.25">
      <c r="A19" s="2" t="s">
        <v>88</v>
      </c>
      <c r="B19" s="2" t="s">
        <v>89</v>
      </c>
      <c r="C19" s="2" t="s">
        <v>69</v>
      </c>
      <c r="D19" s="2" t="s">
        <v>119</v>
      </c>
      <c r="E19" s="2" t="s">
        <v>120</v>
      </c>
      <c r="F19" s="3">
        <v>23</v>
      </c>
      <c r="G19" s="2">
        <v>22.02</v>
      </c>
      <c r="H19" s="3">
        <v>0</v>
      </c>
    </row>
    <row r="20" spans="1:8" x14ac:dyDescent="0.25">
      <c r="A20" s="2" t="s">
        <v>88</v>
      </c>
      <c r="B20" s="2" t="s">
        <v>89</v>
      </c>
      <c r="C20" s="2" t="s">
        <v>69</v>
      </c>
      <c r="D20" s="2" t="s">
        <v>121</v>
      </c>
      <c r="E20" s="2" t="s">
        <v>120</v>
      </c>
      <c r="F20" s="3">
        <v>31.01</v>
      </c>
      <c r="G20" s="2">
        <v>21.99</v>
      </c>
      <c r="H20" s="3">
        <v>0</v>
      </c>
    </row>
    <row r="21" spans="1:8" x14ac:dyDescent="0.25">
      <c r="A21" s="2" t="s">
        <v>85</v>
      </c>
      <c r="B21" s="2" t="s">
        <v>68</v>
      </c>
      <c r="C21" s="2" t="s">
        <v>69</v>
      </c>
      <c r="D21" s="2" t="s">
        <v>122</v>
      </c>
      <c r="E21" s="2" t="s">
        <v>120</v>
      </c>
      <c r="F21" s="3">
        <v>4.39</v>
      </c>
      <c r="G21" s="2">
        <v>21.94</v>
      </c>
      <c r="H21" s="3">
        <v>0</v>
      </c>
    </row>
    <row r="22" spans="1:8" x14ac:dyDescent="0.25">
      <c r="A22" s="2" t="s">
        <v>92</v>
      </c>
      <c r="B22" s="2" t="s">
        <v>93</v>
      </c>
      <c r="C22" s="2" t="s">
        <v>74</v>
      </c>
      <c r="D22" s="2" t="s">
        <v>123</v>
      </c>
      <c r="E22" s="2" t="s">
        <v>120</v>
      </c>
      <c r="F22" s="3">
        <v>40.91</v>
      </c>
      <c r="G22" s="2">
        <v>10</v>
      </c>
      <c r="H22" s="3">
        <v>4.09</v>
      </c>
    </row>
    <row r="23" spans="1:8" x14ac:dyDescent="0.25">
      <c r="A23" s="2" t="s">
        <v>95</v>
      </c>
      <c r="B23" s="2" t="s">
        <v>96</v>
      </c>
      <c r="C23" s="2" t="s">
        <v>69</v>
      </c>
      <c r="D23" s="2" t="s">
        <v>124</v>
      </c>
      <c r="E23" s="2" t="s">
        <v>120</v>
      </c>
      <c r="F23" s="3">
        <v>4.45</v>
      </c>
      <c r="G23" s="2">
        <v>22</v>
      </c>
      <c r="H23" s="3">
        <v>0.98</v>
      </c>
    </row>
    <row r="24" spans="1:8" x14ac:dyDescent="0.25">
      <c r="A24" s="2" t="s">
        <v>67</v>
      </c>
      <c r="B24" s="2" t="s">
        <v>68</v>
      </c>
      <c r="C24" s="2" t="s">
        <v>69</v>
      </c>
      <c r="D24" s="2" t="s">
        <v>125</v>
      </c>
      <c r="E24" s="2" t="s">
        <v>120</v>
      </c>
      <c r="F24" s="3">
        <v>2.95</v>
      </c>
      <c r="G24" s="2">
        <v>22</v>
      </c>
      <c r="H24" s="3">
        <v>0.65</v>
      </c>
    </row>
    <row r="25" spans="1:8" x14ac:dyDescent="0.25">
      <c r="A25" s="2" t="s">
        <v>126</v>
      </c>
      <c r="B25" s="2" t="s">
        <v>127</v>
      </c>
      <c r="C25" s="2" t="s">
        <v>74</v>
      </c>
      <c r="D25" s="2" t="s">
        <v>128</v>
      </c>
      <c r="E25" s="2" t="s">
        <v>129</v>
      </c>
      <c r="F25" s="3">
        <v>3219.38</v>
      </c>
      <c r="G25" s="2">
        <v>17.24</v>
      </c>
      <c r="H25" s="3">
        <v>554.92</v>
      </c>
    </row>
    <row r="26" spans="1:8" x14ac:dyDescent="0.25">
      <c r="A26" s="2" t="s">
        <v>130</v>
      </c>
      <c r="B26" s="2" t="s">
        <v>131</v>
      </c>
      <c r="C26" s="2" t="s">
        <v>74</v>
      </c>
      <c r="D26" s="2" t="s">
        <v>132</v>
      </c>
      <c r="E26" s="2" t="s">
        <v>133</v>
      </c>
      <c r="F26" s="3">
        <v>85</v>
      </c>
      <c r="G26" s="2">
        <v>22</v>
      </c>
      <c r="H26" s="3">
        <v>15.33</v>
      </c>
    </row>
    <row r="27" spans="1:8" x14ac:dyDescent="0.25">
      <c r="A27" s="2" t="s">
        <v>134</v>
      </c>
      <c r="B27" s="2" t="s">
        <v>135</v>
      </c>
      <c r="C27" s="2" t="s">
        <v>74</v>
      </c>
      <c r="D27" s="2" t="s">
        <v>109</v>
      </c>
      <c r="E27" s="2" t="s">
        <v>56</v>
      </c>
      <c r="F27" s="3">
        <v>20</v>
      </c>
      <c r="G27" s="2">
        <v>10</v>
      </c>
      <c r="H27" s="3">
        <v>2</v>
      </c>
    </row>
    <row r="28" spans="1:8" x14ac:dyDescent="0.25">
      <c r="A28" s="2" t="s">
        <v>81</v>
      </c>
      <c r="B28" s="2" t="s">
        <v>82</v>
      </c>
      <c r="C28" s="2" t="s">
        <v>74</v>
      </c>
      <c r="D28" s="2" t="s">
        <v>136</v>
      </c>
      <c r="E28" s="2" t="s">
        <v>137</v>
      </c>
      <c r="F28" s="3">
        <v>18.18</v>
      </c>
      <c r="G28" s="2">
        <v>10.01</v>
      </c>
      <c r="H28" s="3">
        <v>1.82</v>
      </c>
    </row>
    <row r="29" spans="1:8" x14ac:dyDescent="0.25">
      <c r="A29" s="2" t="s">
        <v>85</v>
      </c>
      <c r="B29" s="2" t="s">
        <v>68</v>
      </c>
      <c r="C29" s="2" t="s">
        <v>69</v>
      </c>
      <c r="D29" s="2" t="s">
        <v>138</v>
      </c>
      <c r="E29" s="2" t="s">
        <v>60</v>
      </c>
      <c r="F29" s="3">
        <v>11.88</v>
      </c>
      <c r="G29" s="2">
        <v>21.97</v>
      </c>
      <c r="H29" s="3">
        <v>0</v>
      </c>
    </row>
    <row r="30" spans="1:8" x14ac:dyDescent="0.25">
      <c r="A30" s="2" t="s">
        <v>92</v>
      </c>
      <c r="B30" s="2" t="s">
        <v>93</v>
      </c>
      <c r="C30" s="2" t="s">
        <v>74</v>
      </c>
      <c r="D30" s="2" t="s">
        <v>139</v>
      </c>
      <c r="E30" s="2" t="s">
        <v>60</v>
      </c>
      <c r="F30" s="3">
        <v>131.82</v>
      </c>
      <c r="G30" s="2">
        <v>10</v>
      </c>
      <c r="H30" s="3">
        <v>13.18</v>
      </c>
    </row>
    <row r="31" spans="1:8" x14ac:dyDescent="0.25">
      <c r="A31" s="2" t="s">
        <v>95</v>
      </c>
      <c r="B31" s="2" t="s">
        <v>96</v>
      </c>
      <c r="C31" s="2" t="s">
        <v>69</v>
      </c>
      <c r="D31" s="2" t="s">
        <v>140</v>
      </c>
      <c r="E31" s="2" t="s">
        <v>60</v>
      </c>
      <c r="F31" s="3">
        <v>7.6</v>
      </c>
      <c r="G31" s="2">
        <v>22</v>
      </c>
      <c r="H31" s="3">
        <v>1.67</v>
      </c>
    </row>
    <row r="32" spans="1:8" x14ac:dyDescent="0.25">
      <c r="A32" s="2" t="s">
        <v>67</v>
      </c>
      <c r="B32" s="2" t="s">
        <v>68</v>
      </c>
      <c r="C32" s="2" t="s">
        <v>69</v>
      </c>
      <c r="D32" s="2" t="s">
        <v>141</v>
      </c>
      <c r="E32" s="2" t="s">
        <v>60</v>
      </c>
      <c r="F32" s="3">
        <v>7.98</v>
      </c>
      <c r="G32" s="2">
        <v>22</v>
      </c>
      <c r="H32" s="3">
        <v>1.76</v>
      </c>
    </row>
    <row r="33" spans="1:8" x14ac:dyDescent="0.25">
      <c r="E33" s="5" t="s">
        <v>62</v>
      </c>
      <c r="F33" s="6">
        <f>SUM(F2:F32)</f>
      </c>
      <c r="H33" s="6">
        <f>SUM(H2:H32)</f>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3" customWidth="1"/>
    <col min="3" max="3" width="44" customWidth="1"/>
    <col min="4" max="5" width="17" customWidth="1"/>
    <col min="6" max="6" width="20" customWidth="1"/>
    <col min="7" max="7" width="11" customWidth="1"/>
    <col min="8" max="8" width="26" customWidth="1"/>
  </cols>
  <sheetData>
    <row r="1" ht="24" customHeight="1" spans="1:8" x14ac:dyDescent="0.25">
      <c r="A1" s="1" t="s">
        <v>142</v>
      </c>
      <c r="B1" s="1" t="s">
        <v>143</v>
      </c>
      <c r="C1" s="1" t="s">
        <v>144</v>
      </c>
      <c r="D1" s="1" t="s">
        <v>145</v>
      </c>
      <c r="E1" s="1" t="s">
        <v>146</v>
      </c>
      <c r="F1" s="1" t="s">
        <v>147</v>
      </c>
      <c r="G1" s="1" t="s">
        <v>148</v>
      </c>
      <c r="H1" s="1" t="s">
        <v>149</v>
      </c>
    </row>
    <row r="2" spans="1:8" x14ac:dyDescent="0.25">
      <c r="A2" s="2" t="s">
        <v>150</v>
      </c>
      <c r="B2" s="2" t="s">
        <v>71</v>
      </c>
      <c r="C2" s="2" t="s">
        <v>151</v>
      </c>
      <c r="D2" s="3" t="s">
        <v>12</v>
      </c>
      <c r="E2" s="3">
        <v>25.25</v>
      </c>
      <c r="F2" s="3" t="s">
        <v>12</v>
      </c>
      <c r="G2" s="2" t="s">
        <v>152</v>
      </c>
      <c r="H2" s="2" t="s">
        <v>153</v>
      </c>
    </row>
    <row r="3" spans="1:8" x14ac:dyDescent="0.25">
      <c r="A3" s="2" t="s">
        <v>154</v>
      </c>
      <c r="B3" s="2" t="s">
        <v>71</v>
      </c>
      <c r="C3" s="2" t="s">
        <v>155</v>
      </c>
      <c r="D3" s="3" t="s">
        <v>12</v>
      </c>
      <c r="E3" s="3">
        <v>15.95</v>
      </c>
      <c r="F3" s="3" t="s">
        <v>12</v>
      </c>
      <c r="G3" s="2" t="s">
        <v>152</v>
      </c>
      <c r="H3" s="2" t="s">
        <v>153</v>
      </c>
    </row>
    <row r="4" spans="1:8" x14ac:dyDescent="0.25">
      <c r="A4" s="2" t="s">
        <v>156</v>
      </c>
      <c r="B4" s="2" t="s">
        <v>156</v>
      </c>
      <c r="C4" s="2" t="s">
        <v>157</v>
      </c>
      <c r="D4" s="3" t="s">
        <v>12</v>
      </c>
      <c r="E4" s="3">
        <v>20</v>
      </c>
      <c r="F4" s="3" t="s">
        <v>12</v>
      </c>
      <c r="G4" s="2" t="s">
        <v>152</v>
      </c>
      <c r="H4" s="2" t="s">
        <v>158</v>
      </c>
    </row>
    <row r="5" spans="1:8" x14ac:dyDescent="0.25">
      <c r="A5" s="2" t="s">
        <v>76</v>
      </c>
      <c r="B5" s="2" t="s">
        <v>76</v>
      </c>
      <c r="C5" s="2" t="s">
        <v>159</v>
      </c>
      <c r="D5" s="3" t="s">
        <v>12</v>
      </c>
      <c r="E5" s="3">
        <v>25</v>
      </c>
      <c r="F5" s="3" t="s">
        <v>12</v>
      </c>
      <c r="G5" s="2" t="s">
        <v>152</v>
      </c>
      <c r="H5" s="2" t="s">
        <v>158</v>
      </c>
    </row>
    <row r="6" spans="1:8" x14ac:dyDescent="0.25">
      <c r="A6" s="2" t="s">
        <v>160</v>
      </c>
      <c r="B6" s="2" t="s">
        <v>160</v>
      </c>
      <c r="C6" s="2" t="s">
        <v>161</v>
      </c>
      <c r="D6" s="3">
        <v>39.52</v>
      </c>
      <c r="E6" s="3" t="s">
        <v>12</v>
      </c>
      <c r="F6" s="3" t="s">
        <v>12</v>
      </c>
      <c r="G6" s="2" t="s">
        <v>162</v>
      </c>
      <c r="H6" s="2" t="s">
        <v>163</v>
      </c>
    </row>
    <row r="7" spans="1:8" x14ac:dyDescent="0.25">
      <c r="A7" s="2" t="s">
        <v>164</v>
      </c>
      <c r="B7" s="2" t="s">
        <v>164</v>
      </c>
      <c r="C7" s="2" t="s">
        <v>165</v>
      </c>
      <c r="D7" s="3">
        <v>38.76</v>
      </c>
      <c r="E7" s="3" t="s">
        <v>12</v>
      </c>
      <c r="F7" s="3" t="s">
        <v>12</v>
      </c>
      <c r="G7" s="2" t="s">
        <v>162</v>
      </c>
      <c r="H7" s="2" t="s">
        <v>163</v>
      </c>
    </row>
    <row r="8" spans="1:8" x14ac:dyDescent="0.25">
      <c r="A8" s="2" t="s">
        <v>84</v>
      </c>
      <c r="B8" s="2" t="s">
        <v>84</v>
      </c>
      <c r="C8" s="2" t="s">
        <v>166</v>
      </c>
      <c r="D8" s="3">
        <v>57.24</v>
      </c>
      <c r="E8" s="3" t="s">
        <v>12</v>
      </c>
      <c r="F8" s="3" t="s">
        <v>12</v>
      </c>
      <c r="G8" s="2" t="s">
        <v>162</v>
      </c>
      <c r="H8" s="2" t="s">
        <v>163</v>
      </c>
    </row>
    <row r="9" spans="1:8" x14ac:dyDescent="0.25">
      <c r="A9" s="2" t="s">
        <v>84</v>
      </c>
      <c r="B9" s="2" t="s">
        <v>84</v>
      </c>
      <c r="C9" s="2" t="s">
        <v>167</v>
      </c>
      <c r="D9" s="3" t="s">
        <v>12</v>
      </c>
      <c r="E9" s="3">
        <v>27</v>
      </c>
      <c r="F9" s="3" t="s">
        <v>12</v>
      </c>
      <c r="G9" s="2" t="s">
        <v>162</v>
      </c>
      <c r="H9" s="2" t="s">
        <v>163</v>
      </c>
    </row>
    <row r="10" spans="1:8" x14ac:dyDescent="0.25">
      <c r="A10" s="2" t="s">
        <v>168</v>
      </c>
      <c r="B10" s="2" t="s">
        <v>168</v>
      </c>
      <c r="C10" s="2" t="s">
        <v>169</v>
      </c>
      <c r="D10" s="3">
        <v>39.59</v>
      </c>
      <c r="E10" s="3" t="s">
        <v>12</v>
      </c>
      <c r="F10" s="3" t="s">
        <v>12</v>
      </c>
      <c r="G10" s="2" t="s">
        <v>162</v>
      </c>
      <c r="H10" s="2" t="s">
        <v>163</v>
      </c>
    </row>
    <row r="11" spans="1:8" x14ac:dyDescent="0.25">
      <c r="A11" s="2" t="s">
        <v>170</v>
      </c>
      <c r="B11" s="2" t="s">
        <v>170</v>
      </c>
      <c r="C11" s="2" t="s">
        <v>171</v>
      </c>
      <c r="D11" s="3" t="s">
        <v>12</v>
      </c>
      <c r="E11" s="3">
        <v>40</v>
      </c>
      <c r="F11" s="3" t="s">
        <v>12</v>
      </c>
      <c r="G11" s="2" t="s">
        <v>152</v>
      </c>
      <c r="H11" s="2" t="s">
        <v>158</v>
      </c>
    </row>
    <row r="12" spans="1:8" x14ac:dyDescent="0.25">
      <c r="A12" s="2" t="s">
        <v>172</v>
      </c>
      <c r="B12" s="2" t="s">
        <v>172</v>
      </c>
      <c r="C12" s="2" t="s">
        <v>173</v>
      </c>
      <c r="D12" s="3" t="s">
        <v>12</v>
      </c>
      <c r="E12" s="3">
        <v>25</v>
      </c>
      <c r="F12" s="3" t="s">
        <v>12</v>
      </c>
      <c r="G12" s="2" t="s">
        <v>152</v>
      </c>
      <c r="H12" s="2" t="s">
        <v>158</v>
      </c>
    </row>
    <row r="13" spans="1:8" x14ac:dyDescent="0.25">
      <c r="A13" s="2" t="s">
        <v>174</v>
      </c>
      <c r="B13" s="2" t="s">
        <v>87</v>
      </c>
      <c r="C13" s="2" t="s">
        <v>175</v>
      </c>
      <c r="D13" s="3" t="s">
        <v>12</v>
      </c>
      <c r="E13" s="3">
        <v>15.95</v>
      </c>
      <c r="F13" s="3" t="s">
        <v>12</v>
      </c>
      <c r="G13" s="2" t="s">
        <v>152</v>
      </c>
      <c r="H13" s="2" t="s">
        <v>153</v>
      </c>
    </row>
    <row r="14" spans="1:8" x14ac:dyDescent="0.25">
      <c r="A14" s="2" t="s">
        <v>174</v>
      </c>
      <c r="B14" s="2" t="s">
        <v>174</v>
      </c>
      <c r="C14" s="2" t="s">
        <v>176</v>
      </c>
      <c r="D14" s="3">
        <v>4597.66</v>
      </c>
      <c r="E14" s="3" t="s">
        <v>12</v>
      </c>
      <c r="F14" s="3" t="s">
        <v>12</v>
      </c>
      <c r="G14" s="2" t="s">
        <v>162</v>
      </c>
      <c r="H14" s="2" t="s">
        <v>163</v>
      </c>
    </row>
    <row r="15" spans="1:8" x14ac:dyDescent="0.25">
      <c r="A15" s="2" t="s">
        <v>29</v>
      </c>
      <c r="B15" s="2" t="s">
        <v>29</v>
      </c>
      <c r="C15" s="2" t="s">
        <v>177</v>
      </c>
      <c r="D15" s="3">
        <v>19.43</v>
      </c>
      <c r="E15" s="3" t="s">
        <v>12</v>
      </c>
      <c r="F15" s="3" t="s">
        <v>12</v>
      </c>
      <c r="G15" s="2" t="s">
        <v>162</v>
      </c>
      <c r="H15" s="2" t="s">
        <v>163</v>
      </c>
    </row>
    <row r="16" spans="1:8" x14ac:dyDescent="0.25">
      <c r="A16" s="2" t="s">
        <v>31</v>
      </c>
      <c r="B16" s="2" t="s">
        <v>31</v>
      </c>
      <c r="C16" s="2" t="s">
        <v>178</v>
      </c>
      <c r="D16" s="3" t="s">
        <v>12</v>
      </c>
      <c r="E16" s="3">
        <v>40</v>
      </c>
      <c r="F16" s="3" t="s">
        <v>12</v>
      </c>
      <c r="G16" s="2" t="s">
        <v>152</v>
      </c>
      <c r="H16" s="2" t="s">
        <v>158</v>
      </c>
    </row>
    <row r="17" spans="1:8" x14ac:dyDescent="0.25">
      <c r="A17" s="2" t="s">
        <v>179</v>
      </c>
      <c r="B17" s="2" t="s">
        <v>179</v>
      </c>
      <c r="C17" s="2" t="s">
        <v>180</v>
      </c>
      <c r="D17" s="3" t="s">
        <v>12</v>
      </c>
      <c r="E17" s="3">
        <v>30</v>
      </c>
      <c r="F17" s="3" t="s">
        <v>12</v>
      </c>
      <c r="G17" s="2" t="s">
        <v>152</v>
      </c>
      <c r="H17" s="2" t="s">
        <v>181</v>
      </c>
    </row>
    <row r="18" spans="1:8" x14ac:dyDescent="0.25">
      <c r="A18" s="2" t="s">
        <v>179</v>
      </c>
      <c r="B18" s="2" t="s">
        <v>179</v>
      </c>
      <c r="C18" s="2" t="s">
        <v>182</v>
      </c>
      <c r="D18" s="3" t="s">
        <v>12</v>
      </c>
      <c r="E18" s="3">
        <v>652.78</v>
      </c>
      <c r="F18" s="3" t="s">
        <v>12</v>
      </c>
      <c r="G18" s="2" t="s">
        <v>162</v>
      </c>
      <c r="H18" s="2" t="s">
        <v>183</v>
      </c>
    </row>
    <row r="19" spans="1:8" x14ac:dyDescent="0.25">
      <c r="A19" s="2" t="s">
        <v>117</v>
      </c>
      <c r="B19" s="2" t="s">
        <v>117</v>
      </c>
      <c r="C19" s="2" t="s">
        <v>184</v>
      </c>
      <c r="D19" s="3">
        <v>33.2</v>
      </c>
      <c r="E19" s="3" t="s">
        <v>12</v>
      </c>
      <c r="F19" s="3" t="s">
        <v>12</v>
      </c>
      <c r="G19" s="2" t="s">
        <v>162</v>
      </c>
      <c r="H19" s="2" t="s">
        <v>163</v>
      </c>
    </row>
    <row r="20" spans="1:8" x14ac:dyDescent="0.25">
      <c r="A20" s="2" t="s">
        <v>37</v>
      </c>
      <c r="B20" s="2" t="s">
        <v>37</v>
      </c>
      <c r="C20" s="2" t="s">
        <v>185</v>
      </c>
      <c r="D20" s="3">
        <v>38.6</v>
      </c>
      <c r="E20" s="3" t="s">
        <v>12</v>
      </c>
      <c r="F20" s="3" t="s">
        <v>12</v>
      </c>
      <c r="G20" s="2" t="s">
        <v>162</v>
      </c>
      <c r="H20" s="2" t="s">
        <v>163</v>
      </c>
    </row>
    <row r="21" spans="1:8" x14ac:dyDescent="0.25">
      <c r="A21" s="2" t="s">
        <v>37</v>
      </c>
      <c r="B21" s="2" t="s">
        <v>37</v>
      </c>
      <c r="C21" s="2" t="s">
        <v>186</v>
      </c>
      <c r="D21" s="3" t="s">
        <v>12</v>
      </c>
      <c r="E21" s="3">
        <v>25</v>
      </c>
      <c r="F21" s="3" t="s">
        <v>12</v>
      </c>
      <c r="G21" s="2" t="s">
        <v>152</v>
      </c>
      <c r="H21" s="2" t="s">
        <v>158</v>
      </c>
    </row>
    <row r="22" spans="1:8" x14ac:dyDescent="0.25">
      <c r="A22" s="2" t="s">
        <v>37</v>
      </c>
      <c r="B22" s="2" t="s">
        <v>37</v>
      </c>
      <c r="C22" s="2" t="s">
        <v>187</v>
      </c>
      <c r="D22" s="3" t="s">
        <v>12</v>
      </c>
      <c r="E22" s="3">
        <v>20</v>
      </c>
      <c r="F22" s="3" t="s">
        <v>12</v>
      </c>
      <c r="G22" s="2" t="s">
        <v>152</v>
      </c>
      <c r="H22" s="2" t="s">
        <v>158</v>
      </c>
    </row>
    <row r="23" spans="1:8" x14ac:dyDescent="0.25">
      <c r="A23" s="2" t="s">
        <v>41</v>
      </c>
      <c r="B23" s="2" t="s">
        <v>41</v>
      </c>
      <c r="C23" s="2" t="s">
        <v>188</v>
      </c>
      <c r="D23" s="3" t="s">
        <v>12</v>
      </c>
      <c r="E23" s="3">
        <v>20</v>
      </c>
      <c r="F23" s="3" t="s">
        <v>12</v>
      </c>
      <c r="G23" s="2" t="s">
        <v>152</v>
      </c>
      <c r="H23" s="2" t="s">
        <v>158</v>
      </c>
    </row>
    <row r="24" spans="1:8" x14ac:dyDescent="0.25">
      <c r="A24" s="2" t="s">
        <v>189</v>
      </c>
      <c r="B24" s="2" t="s">
        <v>189</v>
      </c>
      <c r="C24" s="2" t="s">
        <v>190</v>
      </c>
      <c r="D24" s="3" t="s">
        <v>12</v>
      </c>
      <c r="E24" s="3">
        <v>3774.3</v>
      </c>
      <c r="F24" s="3" t="s">
        <v>12</v>
      </c>
      <c r="G24" s="2" t="s">
        <v>152</v>
      </c>
      <c r="H24" s="2" t="s">
        <v>158</v>
      </c>
    </row>
    <row r="25" spans="1:8" x14ac:dyDescent="0.25">
      <c r="A25" s="2" t="s">
        <v>129</v>
      </c>
      <c r="B25" s="2" t="s">
        <v>129</v>
      </c>
      <c r="C25" s="2" t="s">
        <v>191</v>
      </c>
      <c r="D25" s="3">
        <v>28.98</v>
      </c>
      <c r="E25" s="3" t="s">
        <v>12</v>
      </c>
      <c r="F25" s="3" t="s">
        <v>12</v>
      </c>
      <c r="G25" s="2" t="s">
        <v>162</v>
      </c>
      <c r="H25" s="2" t="s">
        <v>163</v>
      </c>
    </row>
    <row r="26" spans="1:8" x14ac:dyDescent="0.25">
      <c r="A26" s="2" t="s">
        <v>129</v>
      </c>
      <c r="B26" s="2" t="s">
        <v>129</v>
      </c>
      <c r="C26" s="2" t="s">
        <v>192</v>
      </c>
      <c r="D26" s="3" t="s">
        <v>12</v>
      </c>
      <c r="E26" s="3">
        <v>45</v>
      </c>
      <c r="F26" s="3" t="s">
        <v>12</v>
      </c>
      <c r="G26" s="2" t="s">
        <v>152</v>
      </c>
      <c r="H26" s="2" t="s">
        <v>158</v>
      </c>
    </row>
    <row r="27" spans="1:8" x14ac:dyDescent="0.25">
      <c r="A27" s="2" t="s">
        <v>129</v>
      </c>
      <c r="B27" s="2" t="s">
        <v>129</v>
      </c>
      <c r="C27" s="2" t="s">
        <v>193</v>
      </c>
      <c r="D27" s="3">
        <v>0.13</v>
      </c>
      <c r="E27" s="3" t="s">
        <v>12</v>
      </c>
      <c r="F27" s="3" t="s">
        <v>12</v>
      </c>
      <c r="G27" s="2" t="s">
        <v>162</v>
      </c>
      <c r="H27" s="2" t="s">
        <v>163</v>
      </c>
    </row>
    <row r="28" spans="1:8" x14ac:dyDescent="0.25">
      <c r="A28" s="2" t="s">
        <v>194</v>
      </c>
      <c r="B28" s="2" t="s">
        <v>194</v>
      </c>
      <c r="C28" s="2" t="s">
        <v>195</v>
      </c>
      <c r="D28" s="3">
        <v>38.24</v>
      </c>
      <c r="E28" s="3" t="s">
        <v>12</v>
      </c>
      <c r="F28" s="3" t="s">
        <v>12</v>
      </c>
      <c r="G28" s="2" t="s">
        <v>162</v>
      </c>
      <c r="H28" s="2" t="s">
        <v>163</v>
      </c>
    </row>
    <row r="29" spans="1:8" x14ac:dyDescent="0.25">
      <c r="A29" s="2" t="s">
        <v>194</v>
      </c>
      <c r="B29" s="2" t="s">
        <v>194</v>
      </c>
      <c r="C29" s="2" t="s">
        <v>196</v>
      </c>
      <c r="D29" s="3" t="s">
        <v>12</v>
      </c>
      <c r="E29" s="3">
        <v>85</v>
      </c>
      <c r="F29" s="3" t="s">
        <v>12</v>
      </c>
      <c r="G29" s="2" t="s">
        <v>152</v>
      </c>
      <c r="H29" s="2" t="s">
        <v>158</v>
      </c>
    </row>
    <row r="30" spans="1:8" x14ac:dyDescent="0.25">
      <c r="A30" s="2" t="s">
        <v>197</v>
      </c>
      <c r="B30" s="2" t="s">
        <v>120</v>
      </c>
      <c r="C30" s="2" t="s">
        <v>198</v>
      </c>
      <c r="D30" s="3" t="s">
        <v>12</v>
      </c>
      <c r="E30" s="3">
        <v>15.95</v>
      </c>
      <c r="F30" s="3" t="s">
        <v>12</v>
      </c>
      <c r="G30" s="2" t="s">
        <v>152</v>
      </c>
      <c r="H30" s="2" t="s">
        <v>153</v>
      </c>
    </row>
    <row r="31" spans="1:8" x14ac:dyDescent="0.25">
      <c r="A31" s="2" t="s">
        <v>197</v>
      </c>
      <c r="B31" s="2" t="s">
        <v>197</v>
      </c>
      <c r="C31" s="2" t="s">
        <v>199</v>
      </c>
      <c r="D31" s="3">
        <v>141.84</v>
      </c>
      <c r="E31" s="3" t="s">
        <v>12</v>
      </c>
      <c r="F31" s="3" t="s">
        <v>12</v>
      </c>
      <c r="G31" s="2" t="s">
        <v>162</v>
      </c>
      <c r="H31" s="2" t="s">
        <v>163</v>
      </c>
    </row>
    <row r="32" spans="1:8" x14ac:dyDescent="0.25">
      <c r="A32" s="2" t="s">
        <v>45</v>
      </c>
      <c r="B32" s="2" t="s">
        <v>45</v>
      </c>
      <c r="C32" s="2" t="s">
        <v>200</v>
      </c>
      <c r="D32" s="3" t="s">
        <v>12</v>
      </c>
      <c r="E32" s="3">
        <v>27.99</v>
      </c>
      <c r="F32" s="3" t="s">
        <v>12</v>
      </c>
      <c r="G32" s="2" t="s">
        <v>162</v>
      </c>
      <c r="H32" s="2" t="s">
        <v>183</v>
      </c>
    </row>
    <row r="33" spans="1:8" x14ac:dyDescent="0.25">
      <c r="A33" s="2" t="s">
        <v>201</v>
      </c>
      <c r="B33" s="2" t="s">
        <v>201</v>
      </c>
      <c r="C33" s="2" t="s">
        <v>202</v>
      </c>
      <c r="D33" s="3">
        <v>117.61</v>
      </c>
      <c r="E33" s="3" t="s">
        <v>12</v>
      </c>
      <c r="F33" s="3" t="s">
        <v>12</v>
      </c>
      <c r="G33" s="2" t="s">
        <v>162</v>
      </c>
      <c r="H33" s="2" t="s">
        <v>163</v>
      </c>
    </row>
    <row r="34" spans="1:8" x14ac:dyDescent="0.25">
      <c r="A34" s="2" t="s">
        <v>50</v>
      </c>
      <c r="B34" s="2" t="s">
        <v>50</v>
      </c>
      <c r="C34" s="2" t="s">
        <v>203</v>
      </c>
      <c r="D34" s="3" t="s">
        <v>12</v>
      </c>
      <c r="E34" s="3">
        <v>37</v>
      </c>
      <c r="F34" s="3" t="s">
        <v>12</v>
      </c>
      <c r="G34" s="2" t="s">
        <v>162</v>
      </c>
      <c r="H34" s="2" t="s">
        <v>163</v>
      </c>
    </row>
    <row r="35" spans="1:8" x14ac:dyDescent="0.25">
      <c r="A35" s="2" t="s">
        <v>52</v>
      </c>
      <c r="B35" s="2" t="s">
        <v>52</v>
      </c>
      <c r="C35" s="2" t="s">
        <v>204</v>
      </c>
      <c r="D35" s="3">
        <v>67.89</v>
      </c>
      <c r="E35" s="3" t="s">
        <v>12</v>
      </c>
      <c r="F35" s="3" t="s">
        <v>12</v>
      </c>
      <c r="G35" s="2" t="s">
        <v>162</v>
      </c>
      <c r="H35" s="2" t="s">
        <v>163</v>
      </c>
    </row>
    <row r="36" spans="1:8" x14ac:dyDescent="0.25">
      <c r="A36" s="2" t="s">
        <v>205</v>
      </c>
      <c r="B36" s="2" t="s">
        <v>205</v>
      </c>
      <c r="C36" s="2" t="s">
        <v>206</v>
      </c>
      <c r="D36" s="3">
        <v>38.94</v>
      </c>
      <c r="E36" s="3" t="s">
        <v>12</v>
      </c>
      <c r="F36" s="3" t="s">
        <v>12</v>
      </c>
      <c r="G36" s="2" t="s">
        <v>162</v>
      </c>
      <c r="H36" s="2" t="s">
        <v>163</v>
      </c>
    </row>
    <row r="37" spans="1:8" x14ac:dyDescent="0.25">
      <c r="A37" s="2" t="s">
        <v>205</v>
      </c>
      <c r="B37" s="2" t="s">
        <v>205</v>
      </c>
      <c r="C37" s="2" t="s">
        <v>207</v>
      </c>
      <c r="D37" s="3">
        <v>28.62</v>
      </c>
      <c r="E37" s="3" t="s">
        <v>12</v>
      </c>
      <c r="F37" s="3" t="s">
        <v>12</v>
      </c>
      <c r="G37" s="2" t="s">
        <v>162</v>
      </c>
      <c r="H37" s="2" t="s">
        <v>163</v>
      </c>
    </row>
    <row r="38" spans="1:8" x14ac:dyDescent="0.25">
      <c r="A38" s="2" t="s">
        <v>56</v>
      </c>
      <c r="B38" s="2" t="s">
        <v>56</v>
      </c>
      <c r="C38" s="2" t="s">
        <v>208</v>
      </c>
      <c r="D38" s="3">
        <v>34.05</v>
      </c>
      <c r="E38" s="3" t="s">
        <v>12</v>
      </c>
      <c r="F38" s="3" t="s">
        <v>12</v>
      </c>
      <c r="G38" s="2" t="s">
        <v>162</v>
      </c>
      <c r="H38" s="2" t="s">
        <v>163</v>
      </c>
    </row>
    <row r="39" spans="1:8" x14ac:dyDescent="0.25">
      <c r="A39" s="2" t="s">
        <v>56</v>
      </c>
      <c r="B39" s="2" t="s">
        <v>56</v>
      </c>
      <c r="C39" s="2" t="s">
        <v>209</v>
      </c>
      <c r="D39" s="3" t="s">
        <v>12</v>
      </c>
      <c r="E39" s="3">
        <v>18</v>
      </c>
      <c r="F39" s="3" t="s">
        <v>12</v>
      </c>
      <c r="G39" s="2" t="s">
        <v>162</v>
      </c>
      <c r="H39" s="2" t="s">
        <v>163</v>
      </c>
    </row>
    <row r="40" spans="1:8" x14ac:dyDescent="0.25">
      <c r="A40" s="2" t="s">
        <v>137</v>
      </c>
      <c r="B40" s="2" t="s">
        <v>137</v>
      </c>
      <c r="C40" s="2" t="s">
        <v>210</v>
      </c>
      <c r="D40" s="3" t="s">
        <v>12</v>
      </c>
      <c r="E40" s="3">
        <v>21.99</v>
      </c>
      <c r="F40" s="3" t="s">
        <v>12</v>
      </c>
      <c r="G40" s="2" t="s">
        <v>152</v>
      </c>
      <c r="H40" s="2" t="s">
        <v>158</v>
      </c>
    </row>
    <row r="41" spans="1:8" x14ac:dyDescent="0.25">
      <c r="A41" s="2" t="s">
        <v>211</v>
      </c>
      <c r="B41" s="2" t="s">
        <v>211</v>
      </c>
      <c r="C41" s="2" t="s">
        <v>212</v>
      </c>
      <c r="D41" s="3" t="s">
        <v>12</v>
      </c>
      <c r="E41" s="3">
        <v>20</v>
      </c>
      <c r="F41" s="3" t="s">
        <v>12</v>
      </c>
      <c r="G41" s="2" t="s">
        <v>152</v>
      </c>
      <c r="H41" s="2" t="s">
        <v>158</v>
      </c>
    </row>
    <row r="42" spans="1:8" x14ac:dyDescent="0.25">
      <c r="A42" s="2" t="s">
        <v>213</v>
      </c>
      <c r="B42" s="2" t="s">
        <v>213</v>
      </c>
      <c r="C42" s="2" t="s">
        <v>214</v>
      </c>
      <c r="D42" s="3">
        <v>28.62</v>
      </c>
      <c r="E42" s="3" t="s">
        <v>12</v>
      </c>
      <c r="F42" s="3" t="s">
        <v>12</v>
      </c>
      <c r="G42" s="2" t="s">
        <v>152</v>
      </c>
      <c r="H42" s="2" t="s">
        <v>215</v>
      </c>
    </row>
    <row r="43" spans="1:8" x14ac:dyDescent="0.25">
      <c r="C43" s="5" t="s">
        <v>62</v>
      </c>
      <c r="D43" s="6">
        <f>SUM(D2:D42)</f>
      </c>
      <c r="E43" s="6">
        <f>SUM(E2:E42)</f>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56" customWidth="1"/>
    <col min="2" max="2" width="14" customWidth="1"/>
    <col min="3" max="3" width="34" customWidth="1"/>
  </cols>
  <sheetData>
    <row r="1" spans="1:3" x14ac:dyDescent="0.25">
      <c r="A1" s="7" t="s">
        <v>216</v>
      </c>
    </row>
    <row r="2" spans="1:3" x14ac:dyDescent="0.25">
      <c r="A2" t="s">
        <v>217</v>
      </c>
    </row>
    <row r="3" spans="1:3" x14ac:dyDescent="0.25"/>
    <row r="4" spans="1:3" x14ac:dyDescent="0.25">
      <c r="A4" s="8" t="s">
        <v>218</v>
      </c>
    </row>
    <row r="5" ht="24" customHeight="1" spans="1:3" x14ac:dyDescent="0.25">
      <c r="A5" s="1" t="s">
        <v>219</v>
      </c>
      <c r="B5" s="1" t="s">
        <v>220</v>
      </c>
      <c r="C5" s="1" t="s">
        <v>221</v>
      </c>
    </row>
    <row r="6" spans="1:3" x14ac:dyDescent="0.25">
      <c r="A6" s="2" t="s">
        <v>222</v>
      </c>
      <c r="B6" s="3">
        <v>596.2</v>
      </c>
      <c r="C6" s="2" t="s">
        <v>223</v>
      </c>
    </row>
    <row r="7" spans="1:3" x14ac:dyDescent="0.25">
      <c r="A7" s="2" t="s">
        <v>224</v>
      </c>
      <c r="B7" s="3">
        <v>59.64</v>
      </c>
      <c r="C7" s="2" t="s">
        <v>223</v>
      </c>
    </row>
    <row r="8" spans="1:3" x14ac:dyDescent="0.25">
      <c r="A8" s="2" t="s">
        <v>225</v>
      </c>
      <c r="B8" s="3">
        <v>4468.35</v>
      </c>
      <c r="C8" s="2" t="s">
        <v>226</v>
      </c>
    </row>
    <row r="9" spans="1:3" x14ac:dyDescent="0.25">
      <c r="A9" s="2" t="s">
        <v>227</v>
      </c>
      <c r="B9" s="3">
        <v>740.3</v>
      </c>
      <c r="C9" s="2" t="s">
        <v>226</v>
      </c>
    </row>
    <row r="10" spans="1:3" x14ac:dyDescent="0.25">
      <c r="A10" s="2" t="s">
        <v>228</v>
      </c>
      <c r="B10" s="3">
        <v>12.33</v>
      </c>
      <c r="C10" s="2" t="s">
        <v>229</v>
      </c>
    </row>
    <row r="11" spans="1:3" x14ac:dyDescent="0.25">
      <c r="A11" s="2" t="s">
        <v>230</v>
      </c>
      <c r="B11" s="3">
        <v>12.33</v>
      </c>
      <c r="C11" s="2" t="s">
        <v>231</v>
      </c>
    </row>
    <row r="12" spans="1:3" x14ac:dyDescent="0.25">
      <c r="A12" s="2" t="s">
        <v>232</v>
      </c>
      <c r="B12" s="3">
        <v>71.97</v>
      </c>
      <c r="C12" s="2" t="s">
        <v>233</v>
      </c>
    </row>
    <row r="13" spans="1:3" x14ac:dyDescent="0.25">
      <c r="A13" s="2" t="s">
        <v>234</v>
      </c>
      <c r="B13" s="3">
        <v>752.63</v>
      </c>
      <c r="C13" s="2" t="s">
        <v>235</v>
      </c>
    </row>
    <row r="14" spans="1:3" x14ac:dyDescent="0.25">
      <c r="A14" s="2" t="s">
        <v>236</v>
      </c>
      <c r="B14" s="3">
        <v>-680.66</v>
      </c>
      <c r="C14" s="2" t="s">
        <v>237</v>
      </c>
    </row>
    <row r="15" spans="1:3" x14ac:dyDescent="0.25"/>
    <row r="16" spans="1:3" x14ac:dyDescent="0.25">
      <c r="A16" t="s">
        <v>238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pane ySplit="1" topLeftCell="A2" activePane="bottomLeft" state="frozen"/>
      <selection pane="bottomLeft"/>
    </sheetView>
  </sheetViews>
  <sheetFormatPr defaultRowHeight="15" outlineLevelRow="0" outlineLevelCol="0" x14ac:dyDescent="55"/>
  <cols>
    <col min="1" max="1" width="65" customWidth="1"/>
    <col min="2" max="2" width="27" customWidth="1"/>
    <col min="3" max="3" width="14" customWidth="1"/>
    <col min="4" max="4" width="72" customWidth="1"/>
  </cols>
  <sheetData>
    <row r="1" ht="24" customHeight="1" spans="1:4" x14ac:dyDescent="0.25">
      <c r="A1" s="1" t="s">
        <v>239</v>
      </c>
      <c r="B1" s="1" t="s">
        <v>240</v>
      </c>
      <c r="C1" s="1" t="s">
        <v>220</v>
      </c>
      <c r="D1" s="1" t="s">
        <v>241</v>
      </c>
    </row>
    <row r="2" spans="1:4" x14ac:dyDescent="0.25">
      <c r="A2" s="2" t="s">
        <v>242</v>
      </c>
      <c r="B2" s="2" t="s">
        <v>243</v>
      </c>
      <c r="C2" s="3">
        <v>-25.42</v>
      </c>
      <c r="D2" s="2" t="s">
        <v>244</v>
      </c>
    </row>
    <row r="3" spans="1:4" x14ac:dyDescent="0.25">
      <c r="A3" s="2" t="s">
        <v>245</v>
      </c>
      <c r="B3" s="2" t="s">
        <v>223</v>
      </c>
      <c r="C3" s="3">
        <v>0.09</v>
      </c>
      <c r="D3" s="2" t="s">
        <v>246</v>
      </c>
    </row>
    <row r="4" spans="1:4" x14ac:dyDescent="0.25">
      <c r="A4" s="2" t="s">
        <v>247</v>
      </c>
      <c r="B4" s="2" t="s">
        <v>223</v>
      </c>
      <c r="C4" s="3">
        <v>39.99</v>
      </c>
      <c r="D4" s="2" t="s">
        <v>246</v>
      </c>
    </row>
    <row r="5" spans="1:4" x14ac:dyDescent="0.25">
      <c r="A5" s="2" t="s">
        <v>248</v>
      </c>
      <c r="B5" s="2" t="s">
        <v>223</v>
      </c>
      <c r="C5" s="3">
        <v>29.99</v>
      </c>
      <c r="D5" s="2" t="s">
        <v>246</v>
      </c>
    </row>
    <row r="6" spans="1:4" x14ac:dyDescent="0.25">
      <c r="A6" s="2" t="s">
        <v>249</v>
      </c>
      <c r="B6" s="2" t="s">
        <v>223</v>
      </c>
      <c r="C6" s="3">
        <v>29.99</v>
      </c>
      <c r="D6" s="2" t="s">
        <v>246</v>
      </c>
    </row>
    <row r="7" spans="1:4" x14ac:dyDescent="0.25">
      <c r="A7" s="2" t="s">
        <v>250</v>
      </c>
      <c r="B7" s="2" t="s">
        <v>223</v>
      </c>
      <c r="C7" s="3">
        <v>39.99</v>
      </c>
      <c r="D7" s="2" t="s">
        <v>246</v>
      </c>
    </row>
    <row r="8" spans="1:4" x14ac:dyDescent="0.25">
      <c r="A8" s="2" t="s">
        <v>251</v>
      </c>
      <c r="B8" s="2" t="s">
        <v>223</v>
      </c>
      <c r="C8" s="3">
        <v>18.85</v>
      </c>
      <c r="D8" s="2" t="s">
        <v>246</v>
      </c>
    </row>
    <row r="9" spans="1:4" x14ac:dyDescent="0.25">
      <c r="A9" s="2" t="s">
        <v>252</v>
      </c>
      <c r="B9" s="2" t="s">
        <v>223</v>
      </c>
      <c r="C9" s="3">
        <v>29.99</v>
      </c>
      <c r="D9" s="2" t="s">
        <v>246</v>
      </c>
    </row>
    <row r="10" spans="1:4" x14ac:dyDescent="0.25">
      <c r="A10" s="2" t="s">
        <v>253</v>
      </c>
      <c r="B10" s="2" t="s">
        <v>223</v>
      </c>
      <c r="C10" s="3">
        <v>0.09</v>
      </c>
      <c r="D10" s="2" t="s">
        <v>246</v>
      </c>
    </row>
    <row r="11" spans="1:4" x14ac:dyDescent="0.25">
      <c r="A11" s="2" t="s">
        <v>254</v>
      </c>
      <c r="B11" s="2" t="s">
        <v>223</v>
      </c>
      <c r="C11" s="3">
        <v>29.99</v>
      </c>
      <c r="D11" s="2" t="s">
        <v>246</v>
      </c>
    </row>
    <row r="12" spans="1:4" x14ac:dyDescent="0.25">
      <c r="A12" s="2" t="s">
        <v>255</v>
      </c>
      <c r="B12" s="2" t="s">
        <v>223</v>
      </c>
      <c r="C12" s="3">
        <v>0.13</v>
      </c>
      <c r="D12" s="2" t="s">
        <v>246</v>
      </c>
    </row>
    <row r="13" spans="1:4" x14ac:dyDescent="0.25">
      <c r="A13" s="2" t="s">
        <v>256</v>
      </c>
      <c r="B13" s="2" t="s">
        <v>223</v>
      </c>
      <c r="C13" s="3">
        <v>49.99</v>
      </c>
      <c r="D13" s="2" t="s">
        <v>246</v>
      </c>
    </row>
    <row r="14" spans="1:4" x14ac:dyDescent="0.25">
      <c r="A14" s="2" t="s">
        <v>257</v>
      </c>
      <c r="B14" s="2" t="s">
        <v>223</v>
      </c>
      <c r="C14" s="3">
        <v>72.48</v>
      </c>
      <c r="D14" s="2" t="s">
        <v>246</v>
      </c>
    </row>
    <row r="15" spans="1:4" x14ac:dyDescent="0.25">
      <c r="A15" s="2" t="s">
        <v>258</v>
      </c>
      <c r="B15" s="2" t="s">
        <v>223</v>
      </c>
      <c r="C15" s="3">
        <v>29.99</v>
      </c>
      <c r="D15" s="2" t="s">
        <v>246</v>
      </c>
    </row>
    <row r="16" spans="1:4" x14ac:dyDescent="0.25">
      <c r="A16" s="2" t="s">
        <v>259</v>
      </c>
      <c r="B16" s="2" t="s">
        <v>223</v>
      </c>
      <c r="C16" s="3">
        <v>29.99</v>
      </c>
      <c r="D16" s="2" t="s">
        <v>246</v>
      </c>
    </row>
    <row r="17" spans="1:4" x14ac:dyDescent="0.25">
      <c r="A17" s="2" t="s">
        <v>260</v>
      </c>
      <c r="B17" s="2" t="s">
        <v>261</v>
      </c>
      <c r="C17" s="3">
        <v>0</v>
      </c>
      <c r="D17" s="2" t="s">
        <v>262</v>
      </c>
    </row>
    <row r="18" spans="1:4" x14ac:dyDescent="0.25">
      <c r="A18" s="2" t="s">
        <v>263</v>
      </c>
      <c r="B18" s="2" t="s">
        <v>261</v>
      </c>
      <c r="C18" s="3">
        <v>76.9</v>
      </c>
      <c r="D18" s="2" t="s">
        <v>264</v>
      </c>
    </row>
    <row r="19" spans="1:4" x14ac:dyDescent="0.25">
      <c r="A19" s="2" t="s">
        <v>265</v>
      </c>
      <c r="B19" s="2" t="s">
        <v>261</v>
      </c>
      <c r="C19" s="3">
        <v>40</v>
      </c>
      <c r="D19" s="2" t="s">
        <v>266</v>
      </c>
    </row>
    <row r="20" spans="1:4" x14ac:dyDescent="0.25">
      <c r="A20" s="2" t="s">
        <v>267</v>
      </c>
      <c r="B20" s="2" t="s">
        <v>261</v>
      </c>
      <c r="C20" s="3">
        <v>18.85</v>
      </c>
      <c r="D20" s="2" t="s">
        <v>268</v>
      </c>
    </row>
    <row r="21" spans="1:4" x14ac:dyDescent="0.25">
      <c r="A21" s="2" t="s">
        <v>269</v>
      </c>
      <c r="B21" s="2" t="s">
        <v>261</v>
      </c>
      <c r="C21" s="3">
        <v>19.84</v>
      </c>
      <c r="D21" s="2" t="s">
        <v>270</v>
      </c>
    </row>
    <row r="22" spans="1:4" x14ac:dyDescent="0.25">
      <c r="A22" s="2" t="s">
        <v>271</v>
      </c>
      <c r="B22" s="2" t="s">
        <v>261</v>
      </c>
      <c r="C22" s="3">
        <v>0</v>
      </c>
      <c r="D22" s="2" t="s">
        <v>272</v>
      </c>
    </row>
    <row r="23" spans="1:4" x14ac:dyDescent="0.25">
      <c r="A23" s="2" t="s">
        <v>273</v>
      </c>
      <c r="B23" s="2" t="s">
        <v>261</v>
      </c>
      <c r="C23" s="3">
        <v>0</v>
      </c>
      <c r="D23" s="2" t="s">
        <v>274</v>
      </c>
    </row>
    <row r="24" spans="1:4" x14ac:dyDescent="0.25">
      <c r="A24" s="2" t="s">
        <v>275</v>
      </c>
      <c r="B24" s="2" t="s">
        <v>261</v>
      </c>
      <c r="C24" s="3">
        <v>0</v>
      </c>
      <c r="D24" s="2" t="s">
        <v>276</v>
      </c>
    </row>
    <row r="25" spans="1:4" x14ac:dyDescent="0.25">
      <c r="A25" s="2" t="s">
        <v>277</v>
      </c>
      <c r="B25" s="2" t="s">
        <v>261</v>
      </c>
      <c r="C25" s="3">
        <v>0</v>
      </c>
      <c r="D25" s="2" t="s">
        <v>278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4" customWidth="1"/>
    <col min="3" max="3" width="32" customWidth="1"/>
    <col min="4" max="4" width="26" customWidth="1"/>
    <col min="5" max="5" width="16" customWidth="1"/>
    <col min="6" max="6" width="36" customWidth="1"/>
    <col min="7" max="7" width="28" customWidth="1"/>
    <col min="8" max="8" width="19" customWidth="1"/>
  </cols>
  <sheetData>
    <row r="1" ht="24" customHeight="1" spans="1:8" x14ac:dyDescent="0.25">
      <c r="A1" s="1" t="s">
        <v>0</v>
      </c>
      <c r="B1" s="1" t="s">
        <v>279</v>
      </c>
      <c r="C1" s="1" t="s">
        <v>280</v>
      </c>
      <c r="D1" s="1" t="s">
        <v>281</v>
      </c>
      <c r="E1" s="1" t="s">
        <v>282</v>
      </c>
      <c r="F1" s="1" t="s">
        <v>283</v>
      </c>
      <c r="G1" s="1" t="s">
        <v>284</v>
      </c>
      <c r="H1" s="1" t="s">
        <v>285</v>
      </c>
    </row>
    <row r="2" spans="1:8" x14ac:dyDescent="0.25">
      <c r="A2" s="2" t="s">
        <v>150</v>
      </c>
      <c r="B2" s="2" t="s">
        <v>151</v>
      </c>
      <c r="C2" s="2" t="s">
        <v>12</v>
      </c>
      <c r="D2" s="9">
        <v>-25.25</v>
      </c>
      <c r="E2" s="2" t="s">
        <v>286</v>
      </c>
      <c r="F2" s="2" t="s">
        <v>287</v>
      </c>
      <c r="G2" s="2" t="s">
        <v>288</v>
      </c>
      <c r="H2" s="3">
        <v>-25.25</v>
      </c>
    </row>
    <row r="3" spans="1:8" x14ac:dyDescent="0.25">
      <c r="A3" s="2" t="s">
        <v>156</v>
      </c>
      <c r="B3" s="2" t="s">
        <v>157</v>
      </c>
      <c r="C3" s="2" t="s">
        <v>12</v>
      </c>
      <c r="D3" s="9">
        <v>-20</v>
      </c>
      <c r="E3" s="2" t="s">
        <v>286</v>
      </c>
      <c r="F3" s="2" t="s">
        <v>289</v>
      </c>
      <c r="G3" s="2" t="s">
        <v>290</v>
      </c>
      <c r="H3" s="3">
        <v>-45.25</v>
      </c>
    </row>
    <row r="4" spans="1:8" x14ac:dyDescent="0.25">
      <c r="A4" s="2" t="s">
        <v>76</v>
      </c>
      <c r="B4" s="2" t="s">
        <v>159</v>
      </c>
      <c r="C4" s="2" t="s">
        <v>12</v>
      </c>
      <c r="D4" s="9">
        <v>-25</v>
      </c>
      <c r="E4" s="2" t="s">
        <v>286</v>
      </c>
      <c r="F4" s="2" t="s">
        <v>291</v>
      </c>
      <c r="G4" s="2" t="s">
        <v>292</v>
      </c>
      <c r="H4" s="3">
        <v>-70.25</v>
      </c>
    </row>
    <row r="5" spans="1:8" x14ac:dyDescent="0.25">
      <c r="A5" s="2" t="s">
        <v>160</v>
      </c>
      <c r="B5" s="2" t="s">
        <v>161</v>
      </c>
      <c r="C5" s="2" t="s">
        <v>12</v>
      </c>
      <c r="D5" s="10">
        <v>39.52</v>
      </c>
      <c r="E5" s="2" t="s">
        <v>286</v>
      </c>
      <c r="F5" s="2" t="s">
        <v>293</v>
      </c>
      <c r="G5" s="2" t="s">
        <v>294</v>
      </c>
      <c r="H5" s="3">
        <v>-30.73</v>
      </c>
    </row>
    <row r="6" spans="1:8" x14ac:dyDescent="0.25">
      <c r="A6" s="2" t="s">
        <v>164</v>
      </c>
      <c r="B6" s="2" t="s">
        <v>165</v>
      </c>
      <c r="C6" s="2" t="s">
        <v>12</v>
      </c>
      <c r="D6" s="10">
        <v>38.76</v>
      </c>
      <c r="E6" s="2" t="s">
        <v>286</v>
      </c>
      <c r="F6" s="2" t="s">
        <v>293</v>
      </c>
      <c r="G6" s="2" t="s">
        <v>295</v>
      </c>
      <c r="H6" s="3">
        <v>8.03</v>
      </c>
    </row>
    <row r="7" spans="1:8" x14ac:dyDescent="0.25">
      <c r="A7" s="2" t="s">
        <v>84</v>
      </c>
      <c r="B7" s="2" t="s">
        <v>167</v>
      </c>
      <c r="C7" s="2" t="s">
        <v>12</v>
      </c>
      <c r="D7" s="9">
        <v>-27</v>
      </c>
      <c r="E7" s="2" t="s">
        <v>286</v>
      </c>
      <c r="F7" s="2" t="s">
        <v>296</v>
      </c>
      <c r="G7" s="2" t="s">
        <v>297</v>
      </c>
      <c r="H7" s="3">
        <v>-18.97</v>
      </c>
    </row>
    <row r="8" spans="1:8" x14ac:dyDescent="0.25">
      <c r="A8" s="2" t="s">
        <v>84</v>
      </c>
      <c r="B8" s="2" t="s">
        <v>166</v>
      </c>
      <c r="C8" s="2" t="s">
        <v>12</v>
      </c>
      <c r="D8" s="10">
        <v>57.24</v>
      </c>
      <c r="E8" s="2" t="s">
        <v>286</v>
      </c>
      <c r="F8" s="2" t="s">
        <v>293</v>
      </c>
      <c r="G8" s="2" t="s">
        <v>298</v>
      </c>
      <c r="H8" s="3">
        <v>38.27</v>
      </c>
    </row>
    <row r="9" spans="1:8" x14ac:dyDescent="0.25">
      <c r="A9" s="2" t="s">
        <v>168</v>
      </c>
      <c r="B9" s="2" t="s">
        <v>169</v>
      </c>
      <c r="C9" s="2" t="s">
        <v>12</v>
      </c>
      <c r="D9" s="10">
        <v>39.59</v>
      </c>
      <c r="E9" s="2" t="s">
        <v>286</v>
      </c>
      <c r="F9" s="2" t="s">
        <v>293</v>
      </c>
      <c r="G9" s="2" t="s">
        <v>299</v>
      </c>
      <c r="H9" s="3">
        <v>77.86</v>
      </c>
    </row>
    <row r="10" spans="1:8" x14ac:dyDescent="0.25">
      <c r="A10" s="2" t="s">
        <v>170</v>
      </c>
      <c r="B10" s="2" t="s">
        <v>171</v>
      </c>
      <c r="C10" s="2" t="s">
        <v>12</v>
      </c>
      <c r="D10" s="9">
        <v>-40</v>
      </c>
      <c r="E10" s="2" t="s">
        <v>286</v>
      </c>
      <c r="F10" s="2" t="s">
        <v>291</v>
      </c>
      <c r="G10" s="2" t="s">
        <v>300</v>
      </c>
      <c r="H10" s="3">
        <v>37.86</v>
      </c>
    </row>
    <row r="11" spans="1:8" x14ac:dyDescent="0.25">
      <c r="A11" s="2" t="s">
        <v>174</v>
      </c>
      <c r="B11" s="2" t="s">
        <v>176</v>
      </c>
      <c r="C11" s="2" t="s">
        <v>12</v>
      </c>
      <c r="D11" s="10">
        <v>4597.66</v>
      </c>
      <c r="E11" s="2" t="s">
        <v>286</v>
      </c>
      <c r="F11" s="2" t="s">
        <v>301</v>
      </c>
      <c r="G11" s="2" t="s">
        <v>302</v>
      </c>
      <c r="H11" s="3">
        <v>4635.52</v>
      </c>
    </row>
    <row r="12" spans="1:8" x14ac:dyDescent="0.25">
      <c r="A12" s="2" t="s">
        <v>29</v>
      </c>
      <c r="B12" s="2" t="s">
        <v>177</v>
      </c>
      <c r="C12" s="2" t="s">
        <v>12</v>
      </c>
      <c r="D12" s="10">
        <v>19.43</v>
      </c>
      <c r="E12" s="2" t="s">
        <v>286</v>
      </c>
      <c r="F12" s="2" t="s">
        <v>293</v>
      </c>
      <c r="G12" s="2" t="s">
        <v>303</v>
      </c>
      <c r="H12" s="3">
        <v>4654.95</v>
      </c>
    </row>
    <row r="13" spans="1:8" x14ac:dyDescent="0.25">
      <c r="A13" s="2" t="s">
        <v>31</v>
      </c>
      <c r="B13" s="2" t="s">
        <v>178</v>
      </c>
      <c r="C13" s="2" t="s">
        <v>12</v>
      </c>
      <c r="D13" s="9">
        <v>-40</v>
      </c>
      <c r="E13" s="2" t="s">
        <v>286</v>
      </c>
      <c r="F13" s="2" t="s">
        <v>291</v>
      </c>
      <c r="G13" s="2" t="s">
        <v>304</v>
      </c>
      <c r="H13" s="3">
        <v>4614.95</v>
      </c>
    </row>
    <row r="14" spans="1:8" x14ac:dyDescent="0.25">
      <c r="A14" s="2" t="s">
        <v>179</v>
      </c>
      <c r="B14" s="2" t="s">
        <v>182</v>
      </c>
      <c r="C14" s="2" t="s">
        <v>12</v>
      </c>
      <c r="D14" s="9">
        <v>-652.78</v>
      </c>
      <c r="E14" s="2" t="s">
        <v>286</v>
      </c>
      <c r="F14" s="2" t="s">
        <v>293</v>
      </c>
      <c r="G14" s="2" t="s">
        <v>305</v>
      </c>
      <c r="H14" s="3">
        <v>3962.17</v>
      </c>
    </row>
    <row r="15" spans="1:8" x14ac:dyDescent="0.25">
      <c r="A15" s="2" t="s">
        <v>179</v>
      </c>
      <c r="B15" s="2" t="s">
        <v>180</v>
      </c>
      <c r="C15" s="2" t="s">
        <v>12</v>
      </c>
      <c r="D15" s="9">
        <v>-30</v>
      </c>
      <c r="E15" s="2" t="s">
        <v>286</v>
      </c>
      <c r="F15" s="2" t="s">
        <v>289</v>
      </c>
      <c r="G15" s="2" t="s">
        <v>306</v>
      </c>
      <c r="H15" s="3">
        <v>3932.17</v>
      </c>
    </row>
    <row r="16" spans="1:8" x14ac:dyDescent="0.25">
      <c r="A16" s="2" t="s">
        <v>117</v>
      </c>
      <c r="B16" s="2" t="s">
        <v>184</v>
      </c>
      <c r="C16" s="2" t="s">
        <v>12</v>
      </c>
      <c r="D16" s="10">
        <v>33.2</v>
      </c>
      <c r="E16" s="2" t="s">
        <v>286</v>
      </c>
      <c r="F16" s="2" t="s">
        <v>293</v>
      </c>
      <c r="G16" s="2" t="s">
        <v>307</v>
      </c>
      <c r="H16" s="3">
        <v>3965.37</v>
      </c>
    </row>
    <row r="17" spans="1:8" x14ac:dyDescent="0.25">
      <c r="A17" s="2" t="s">
        <v>37</v>
      </c>
      <c r="B17" s="2" t="s">
        <v>185</v>
      </c>
      <c r="C17" s="2" t="s">
        <v>12</v>
      </c>
      <c r="D17" s="10">
        <v>38.6</v>
      </c>
      <c r="E17" s="2" t="s">
        <v>286</v>
      </c>
      <c r="F17" s="2" t="s">
        <v>293</v>
      </c>
      <c r="G17" s="2" t="s">
        <v>308</v>
      </c>
      <c r="H17" s="3">
        <v>4003.97</v>
      </c>
    </row>
    <row r="18" spans="1:8" x14ac:dyDescent="0.25">
      <c r="A18" s="2" t="s">
        <v>37</v>
      </c>
      <c r="B18" s="2" t="s">
        <v>186</v>
      </c>
      <c r="C18" s="2" t="s">
        <v>12</v>
      </c>
      <c r="D18" s="9">
        <v>-25</v>
      </c>
      <c r="E18" s="2" t="s">
        <v>286</v>
      </c>
      <c r="F18" s="2" t="s">
        <v>296</v>
      </c>
      <c r="G18" s="2" t="s">
        <v>309</v>
      </c>
      <c r="H18" s="3">
        <v>3978.97</v>
      </c>
    </row>
    <row r="19" spans="1:8" x14ac:dyDescent="0.25">
      <c r="A19" s="2" t="s">
        <v>41</v>
      </c>
      <c r="B19" s="2" t="s">
        <v>188</v>
      </c>
      <c r="C19" s="2" t="s">
        <v>12</v>
      </c>
      <c r="D19" s="9">
        <v>-20</v>
      </c>
      <c r="E19" s="2" t="s">
        <v>286</v>
      </c>
      <c r="F19" s="2" t="s">
        <v>291</v>
      </c>
      <c r="G19" s="2" t="s">
        <v>310</v>
      </c>
      <c r="H19" s="3">
        <v>3958.97</v>
      </c>
    </row>
    <row r="20" spans="1:8" x14ac:dyDescent="0.25">
      <c r="A20" s="2" t="s">
        <v>189</v>
      </c>
      <c r="B20" s="2" t="s">
        <v>190</v>
      </c>
      <c r="C20" s="2" t="s">
        <v>12</v>
      </c>
      <c r="D20" s="9">
        <v>-3774.3</v>
      </c>
      <c r="E20" s="2" t="s">
        <v>286</v>
      </c>
      <c r="F20" s="2" t="s">
        <v>291</v>
      </c>
      <c r="G20" s="2" t="s">
        <v>311</v>
      </c>
      <c r="H20" s="3">
        <v>184.67</v>
      </c>
    </row>
    <row r="21" spans="1:8" x14ac:dyDescent="0.25">
      <c r="A21" s="2" t="s">
        <v>129</v>
      </c>
      <c r="B21" s="2" t="s">
        <v>191</v>
      </c>
      <c r="C21" s="2" t="s">
        <v>12</v>
      </c>
      <c r="D21" s="10">
        <v>28.98</v>
      </c>
      <c r="E21" s="2" t="s">
        <v>286</v>
      </c>
      <c r="F21" s="2" t="s">
        <v>293</v>
      </c>
      <c r="G21" s="2" t="s">
        <v>312</v>
      </c>
      <c r="H21" s="3">
        <v>213.65</v>
      </c>
    </row>
    <row r="22" spans="1:8" x14ac:dyDescent="0.25">
      <c r="A22" s="2" t="s">
        <v>129</v>
      </c>
      <c r="B22" s="2" t="s">
        <v>193</v>
      </c>
      <c r="C22" s="2" t="s">
        <v>12</v>
      </c>
      <c r="D22" s="10">
        <v>0.13</v>
      </c>
      <c r="E22" s="2" t="s">
        <v>286</v>
      </c>
      <c r="F22" s="2" t="s">
        <v>293</v>
      </c>
      <c r="G22" s="2" t="s">
        <v>313</v>
      </c>
      <c r="H22" s="3">
        <v>213.78</v>
      </c>
    </row>
    <row r="23" spans="1:8" x14ac:dyDescent="0.25">
      <c r="A23" s="2" t="s">
        <v>129</v>
      </c>
      <c r="B23" s="2" t="s">
        <v>192</v>
      </c>
      <c r="C23" s="2" t="s">
        <v>12</v>
      </c>
      <c r="D23" s="9">
        <v>-45</v>
      </c>
      <c r="E23" s="2" t="s">
        <v>286</v>
      </c>
      <c r="F23" s="2" t="s">
        <v>291</v>
      </c>
      <c r="G23" s="2" t="s">
        <v>314</v>
      </c>
      <c r="H23" s="3">
        <v>168.78</v>
      </c>
    </row>
    <row r="24" spans="1:8" x14ac:dyDescent="0.25">
      <c r="A24" s="2" t="s">
        <v>194</v>
      </c>
      <c r="B24" s="2" t="s">
        <v>196</v>
      </c>
      <c r="C24" s="2" t="s">
        <v>12</v>
      </c>
      <c r="D24" s="9">
        <v>-85</v>
      </c>
      <c r="E24" s="2" t="s">
        <v>286</v>
      </c>
      <c r="F24" s="2" t="s">
        <v>291</v>
      </c>
      <c r="G24" s="2" t="s">
        <v>315</v>
      </c>
      <c r="H24" s="3">
        <v>83.78</v>
      </c>
    </row>
    <row r="25" spans="1:8" x14ac:dyDescent="0.25">
      <c r="A25" s="2" t="s">
        <v>194</v>
      </c>
      <c r="B25" s="2" t="s">
        <v>195</v>
      </c>
      <c r="C25" s="2" t="s">
        <v>12</v>
      </c>
      <c r="D25" s="10">
        <v>38.24</v>
      </c>
      <c r="E25" s="2" t="s">
        <v>286</v>
      </c>
      <c r="F25" s="2" t="s">
        <v>293</v>
      </c>
      <c r="G25" s="2" t="s">
        <v>316</v>
      </c>
      <c r="H25" s="3">
        <v>122.02</v>
      </c>
    </row>
    <row r="26" spans="1:8" x14ac:dyDescent="0.25">
      <c r="A26" s="2" t="s">
        <v>197</v>
      </c>
      <c r="B26" s="2" t="s">
        <v>199</v>
      </c>
      <c r="C26" s="2" t="s">
        <v>12</v>
      </c>
      <c r="D26" s="10">
        <v>141.84</v>
      </c>
      <c r="E26" s="2" t="s">
        <v>286</v>
      </c>
      <c r="F26" s="2" t="s">
        <v>293</v>
      </c>
      <c r="G26" s="2" t="s">
        <v>317</v>
      </c>
      <c r="H26" s="3">
        <v>263.86</v>
      </c>
    </row>
    <row r="27" spans="1:8" x14ac:dyDescent="0.25">
      <c r="A27" s="2" t="s">
        <v>197</v>
      </c>
      <c r="B27" s="2" t="s">
        <v>198</v>
      </c>
      <c r="C27" s="2" t="s">
        <v>12</v>
      </c>
      <c r="D27" s="9">
        <v>-15.95</v>
      </c>
      <c r="E27" s="2" t="s">
        <v>286</v>
      </c>
      <c r="F27" s="2" t="s">
        <v>287</v>
      </c>
      <c r="G27" s="2" t="s">
        <v>318</v>
      </c>
      <c r="H27" s="3">
        <v>247.91</v>
      </c>
    </row>
    <row r="28" spans="1:8" x14ac:dyDescent="0.25">
      <c r="A28" s="2" t="s">
        <v>45</v>
      </c>
      <c r="B28" s="2" t="s">
        <v>319</v>
      </c>
      <c r="C28" s="2" t="s">
        <v>320</v>
      </c>
      <c r="D28" s="9">
        <v>-27.99</v>
      </c>
      <c r="E28" s="2" t="s">
        <v>286</v>
      </c>
      <c r="F28" s="2" t="s">
        <v>293</v>
      </c>
      <c r="G28" s="2" t="s">
        <v>321</v>
      </c>
      <c r="H28" s="3">
        <v>219.92</v>
      </c>
    </row>
    <row r="29" spans="1:8" x14ac:dyDescent="0.25">
      <c r="A29" s="2" t="s">
        <v>201</v>
      </c>
      <c r="B29" s="2" t="s">
        <v>202</v>
      </c>
      <c r="C29" s="2" t="s">
        <v>12</v>
      </c>
      <c r="D29" s="10">
        <v>117.61</v>
      </c>
      <c r="E29" s="2" t="s">
        <v>286</v>
      </c>
      <c r="F29" s="2" t="s">
        <v>293</v>
      </c>
      <c r="G29" s="2" t="s">
        <v>322</v>
      </c>
      <c r="H29" s="3">
        <v>337.53</v>
      </c>
    </row>
    <row r="30" spans="1:8" x14ac:dyDescent="0.25">
      <c r="A30" s="2" t="s">
        <v>50</v>
      </c>
      <c r="B30" s="2" t="s">
        <v>203</v>
      </c>
      <c r="C30" s="2" t="s">
        <v>12</v>
      </c>
      <c r="D30" s="9">
        <v>-37</v>
      </c>
      <c r="E30" s="2" t="s">
        <v>286</v>
      </c>
      <c r="F30" s="2" t="s">
        <v>296</v>
      </c>
      <c r="G30" s="2" t="s">
        <v>323</v>
      </c>
      <c r="H30" s="3">
        <v>300.53</v>
      </c>
    </row>
    <row r="31" spans="1:8" x14ac:dyDescent="0.25">
      <c r="A31" s="2" t="s">
        <v>52</v>
      </c>
      <c r="B31" s="2" t="s">
        <v>204</v>
      </c>
      <c r="C31" s="2" t="s">
        <v>12</v>
      </c>
      <c r="D31" s="10">
        <v>67.89</v>
      </c>
      <c r="E31" s="2" t="s">
        <v>286</v>
      </c>
      <c r="F31" s="2" t="s">
        <v>293</v>
      </c>
      <c r="G31" s="2" t="s">
        <v>324</v>
      </c>
      <c r="H31" s="3">
        <v>368.42</v>
      </c>
    </row>
    <row r="32" spans="1:8" x14ac:dyDescent="0.25">
      <c r="A32" s="2" t="s">
        <v>205</v>
      </c>
      <c r="B32" s="2" t="s">
        <v>207</v>
      </c>
      <c r="C32" s="2" t="s">
        <v>12</v>
      </c>
      <c r="D32" s="10">
        <v>28.62</v>
      </c>
      <c r="E32" s="2" t="s">
        <v>286</v>
      </c>
      <c r="F32" s="2" t="s">
        <v>293</v>
      </c>
      <c r="G32" s="2" t="s">
        <v>325</v>
      </c>
      <c r="H32" s="3">
        <v>397.04</v>
      </c>
    </row>
    <row r="33" spans="1:8" x14ac:dyDescent="0.25">
      <c r="A33" s="2" t="s">
        <v>205</v>
      </c>
      <c r="B33" s="2" t="s">
        <v>206</v>
      </c>
      <c r="C33" s="2" t="s">
        <v>12</v>
      </c>
      <c r="D33" s="10">
        <v>38.94</v>
      </c>
      <c r="E33" s="2" t="s">
        <v>286</v>
      </c>
      <c r="F33" s="2" t="s">
        <v>293</v>
      </c>
      <c r="G33" s="2" t="s">
        <v>326</v>
      </c>
      <c r="H33" s="3">
        <v>435.98</v>
      </c>
    </row>
    <row r="34" spans="1:8" x14ac:dyDescent="0.25">
      <c r="A34" s="2" t="s">
        <v>56</v>
      </c>
      <c r="B34" s="2" t="s">
        <v>209</v>
      </c>
      <c r="C34" s="2" t="s">
        <v>12</v>
      </c>
      <c r="D34" s="9">
        <v>-18</v>
      </c>
      <c r="E34" s="2" t="s">
        <v>286</v>
      </c>
      <c r="F34" s="2" t="s">
        <v>296</v>
      </c>
      <c r="G34" s="2" t="s">
        <v>327</v>
      </c>
      <c r="H34" s="3">
        <v>417.98</v>
      </c>
    </row>
    <row r="35" spans="1:8" x14ac:dyDescent="0.25">
      <c r="A35" s="2" t="s">
        <v>56</v>
      </c>
      <c r="B35" s="2" t="s">
        <v>208</v>
      </c>
      <c r="C35" s="2" t="s">
        <v>12</v>
      </c>
      <c r="D35" s="10">
        <v>34.05</v>
      </c>
      <c r="E35" s="2" t="s">
        <v>286</v>
      </c>
      <c r="F35" s="2" t="s">
        <v>293</v>
      </c>
      <c r="G35" s="2" t="s">
        <v>328</v>
      </c>
      <c r="H35" s="3">
        <v>452.03</v>
      </c>
    </row>
    <row r="36" spans="1:8" x14ac:dyDescent="0.25">
      <c r="A36" s="2" t="s">
        <v>137</v>
      </c>
      <c r="B36" s="2" t="s">
        <v>329</v>
      </c>
      <c r="C36" s="2" t="s">
        <v>330</v>
      </c>
      <c r="D36" s="9">
        <v>-21.99</v>
      </c>
      <c r="E36" s="2" t="s">
        <v>286</v>
      </c>
      <c r="F36" s="2" t="s">
        <v>289</v>
      </c>
      <c r="G36" s="2" t="s">
        <v>331</v>
      </c>
      <c r="H36" s="3">
        <v>430.04</v>
      </c>
    </row>
    <row r="37" spans="1:8" x14ac:dyDescent="0.25">
      <c r="A37" s="2" t="s">
        <v>211</v>
      </c>
      <c r="B37" s="2" t="s">
        <v>212</v>
      </c>
      <c r="C37" s="2" t="s">
        <v>12</v>
      </c>
      <c r="D37" s="9">
        <v>-20</v>
      </c>
      <c r="E37" s="2" t="s">
        <v>286</v>
      </c>
      <c r="F37" s="2" t="s">
        <v>291</v>
      </c>
      <c r="G37" s="2" t="s">
        <v>332</v>
      </c>
      <c r="H37" s="3">
        <v>410.04</v>
      </c>
    </row>
    <row r="38" spans="1:8" x14ac:dyDescent="0.25">
      <c r="A38" s="2" t="s">
        <v>213</v>
      </c>
      <c r="B38" s="2" t="s">
        <v>333</v>
      </c>
      <c r="C38" s="2" t="s">
        <v>12</v>
      </c>
      <c r="D38" s="10">
        <v>28.62</v>
      </c>
      <c r="E38" s="2" t="s">
        <v>286</v>
      </c>
      <c r="F38" s="2" t="s">
        <v>293</v>
      </c>
      <c r="G38" s="2" t="s">
        <v>334</v>
      </c>
      <c r="H38" s="3">
        <v>438.66</v>
      </c>
    </row>
    <row r="39" spans="1:8" x14ac:dyDescent="0.25">
      <c r="C39" s="5" t="s">
        <v>335</v>
      </c>
      <c r="D39" s="6">
        <f>SUM(D2:D38)</f>
      </c>
    </row>
    <row r="40" spans="1:8" x14ac:dyDescent="0.25">
      <c r="A40" t="s">
        <v>12</v>
      </c>
      <c r="B40" s="11" t="s">
        <v>336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3" customWidth="1"/>
    <col min="3" max="3" width="19" customWidth="1"/>
    <col min="4" max="4" width="27" customWidth="1"/>
    <col min="5" max="5" width="34" customWidth="1"/>
    <col min="6" max="6" width="19" customWidth="1"/>
    <col min="7" max="7" width="44" customWidth="1"/>
    <col min="8" max="8" width="14" customWidth="1"/>
  </cols>
  <sheetData>
    <row r="1" ht="24" customHeight="1" spans="1:8" x14ac:dyDescent="0.25">
      <c r="A1" s="1" t="s">
        <v>0</v>
      </c>
      <c r="B1" s="1" t="s">
        <v>337</v>
      </c>
      <c r="C1" s="1" t="s">
        <v>338</v>
      </c>
      <c r="D1" s="1" t="s">
        <v>339</v>
      </c>
      <c r="E1" s="1" t="s">
        <v>340</v>
      </c>
      <c r="F1" s="1" t="s">
        <v>341</v>
      </c>
      <c r="G1" s="1" t="s">
        <v>342</v>
      </c>
      <c r="H1" s="1" t="s">
        <v>343</v>
      </c>
    </row>
    <row r="2" spans="1:8" x14ac:dyDescent="0.25">
      <c r="A2" s="2" t="s">
        <v>14</v>
      </c>
      <c r="B2" s="2" t="s">
        <v>344</v>
      </c>
      <c r="C2" s="2" t="s">
        <v>12</v>
      </c>
      <c r="D2" s="3">
        <v>0</v>
      </c>
      <c r="E2" s="3">
        <v>0.18</v>
      </c>
      <c r="F2" s="3">
        <v>0.18</v>
      </c>
      <c r="G2" s="2" t="s">
        <v>12</v>
      </c>
      <c r="H2" s="2" t="s">
        <v>345</v>
      </c>
    </row>
    <row r="3" spans="1:8" x14ac:dyDescent="0.25">
      <c r="A3" s="2" t="s">
        <v>16</v>
      </c>
      <c r="B3" s="2" t="s">
        <v>346</v>
      </c>
      <c r="C3" s="2" t="s">
        <v>12</v>
      </c>
      <c r="D3" s="3">
        <v>39.99</v>
      </c>
      <c r="E3" s="3">
        <v>0.85</v>
      </c>
      <c r="F3" s="3">
        <v>39.14</v>
      </c>
      <c r="G3" s="2" t="s">
        <v>12</v>
      </c>
      <c r="H3" s="2" t="s">
        <v>347</v>
      </c>
    </row>
    <row r="4" spans="1:8" x14ac:dyDescent="0.25">
      <c r="A4" s="2" t="s">
        <v>16</v>
      </c>
      <c r="B4" s="2" t="s">
        <v>348</v>
      </c>
      <c r="C4" s="2" t="s">
        <v>12</v>
      </c>
      <c r="D4" s="3">
        <v>0.2</v>
      </c>
      <c r="E4" s="3">
        <v>0</v>
      </c>
      <c r="F4" s="3">
        <v>0.2</v>
      </c>
      <c r="G4" s="2" t="s">
        <v>12</v>
      </c>
      <c r="H4" s="2" t="s">
        <v>349</v>
      </c>
    </row>
    <row r="5" spans="1:8" x14ac:dyDescent="0.25">
      <c r="A5" s="2" t="s">
        <v>20</v>
      </c>
      <c r="B5" s="2" t="s">
        <v>350</v>
      </c>
      <c r="C5" s="2" t="s">
        <v>12</v>
      </c>
      <c r="D5" s="3">
        <v>0</v>
      </c>
      <c r="E5" s="3">
        <v>0.16</v>
      </c>
      <c r="F5" s="3">
        <v>0.16</v>
      </c>
      <c r="G5" s="2" t="s">
        <v>12</v>
      </c>
      <c r="H5" s="2" t="s">
        <v>345</v>
      </c>
    </row>
    <row r="6" spans="1:8" x14ac:dyDescent="0.25">
      <c r="A6" s="2" t="s">
        <v>22</v>
      </c>
      <c r="B6" s="2" t="s">
        <v>351</v>
      </c>
      <c r="C6" s="2" t="s">
        <v>12</v>
      </c>
      <c r="D6" s="3">
        <v>40.97</v>
      </c>
      <c r="E6" s="3">
        <v>0.86</v>
      </c>
      <c r="F6" s="3">
        <v>40.11</v>
      </c>
      <c r="G6" s="2" t="s">
        <v>12</v>
      </c>
      <c r="H6" s="2" t="s">
        <v>347</v>
      </c>
    </row>
    <row r="7" spans="1:8" x14ac:dyDescent="0.25">
      <c r="A7" s="2" t="s">
        <v>22</v>
      </c>
      <c r="B7" s="2" t="s">
        <v>352</v>
      </c>
      <c r="C7" s="2" t="s">
        <v>12</v>
      </c>
      <c r="D7" s="3">
        <v>0.2</v>
      </c>
      <c r="E7" s="3">
        <v>0</v>
      </c>
      <c r="F7" s="3">
        <v>0.2</v>
      </c>
      <c r="G7" s="2" t="s">
        <v>12</v>
      </c>
      <c r="H7" s="2" t="s">
        <v>349</v>
      </c>
    </row>
    <row r="8" spans="1:8" x14ac:dyDescent="0.25">
      <c r="A8" s="2" t="s">
        <v>22</v>
      </c>
      <c r="B8" s="2" t="s">
        <v>353</v>
      </c>
      <c r="C8" s="2" t="s">
        <v>12</v>
      </c>
      <c r="D8" s="3">
        <v>0</v>
      </c>
      <c r="E8" s="3">
        <v>0.16</v>
      </c>
      <c r="F8" s="3">
        <v>0.16</v>
      </c>
      <c r="G8" s="2" t="s">
        <v>12</v>
      </c>
      <c r="H8" s="2" t="s">
        <v>345</v>
      </c>
    </row>
    <row r="9" spans="1:8" x14ac:dyDescent="0.25">
      <c r="A9" s="2" t="s">
        <v>164</v>
      </c>
      <c r="B9" s="2" t="s">
        <v>354</v>
      </c>
      <c r="C9" s="2" t="s">
        <v>12</v>
      </c>
      <c r="D9" s="3">
        <v>38.76</v>
      </c>
      <c r="E9" s="3">
        <v>0</v>
      </c>
      <c r="F9" s="3">
        <v>38.76</v>
      </c>
      <c r="G9" s="2" t="s">
        <v>355</v>
      </c>
      <c r="H9" s="2" t="s">
        <v>356</v>
      </c>
    </row>
    <row r="10" spans="1:8" x14ac:dyDescent="0.25">
      <c r="A10" s="2" t="s">
        <v>164</v>
      </c>
      <c r="B10" s="2" t="s">
        <v>357</v>
      </c>
      <c r="C10" s="2" t="s">
        <v>12</v>
      </c>
      <c r="D10" s="3">
        <v>38.76</v>
      </c>
      <c r="E10" s="3">
        <v>0</v>
      </c>
      <c r="F10" s="3">
        <v>38.76</v>
      </c>
      <c r="G10" s="2" t="s">
        <v>355</v>
      </c>
      <c r="H10" s="2" t="s">
        <v>356</v>
      </c>
    </row>
    <row r="11" spans="1:8" x14ac:dyDescent="0.25">
      <c r="A11" s="2" t="s">
        <v>168</v>
      </c>
      <c r="B11" s="2" t="s">
        <v>358</v>
      </c>
      <c r="C11" s="2" t="s">
        <v>12</v>
      </c>
      <c r="D11" s="3">
        <v>39.59</v>
      </c>
      <c r="E11" s="3">
        <v>0</v>
      </c>
      <c r="F11" s="3">
        <v>39.59</v>
      </c>
      <c r="G11" s="2" t="s">
        <v>359</v>
      </c>
      <c r="H11" s="2" t="s">
        <v>356</v>
      </c>
    </row>
    <row r="12" spans="1:8" x14ac:dyDescent="0.25">
      <c r="A12" s="2" t="s">
        <v>168</v>
      </c>
      <c r="B12" s="2" t="s">
        <v>360</v>
      </c>
      <c r="C12" s="2" t="s">
        <v>12</v>
      </c>
      <c r="D12" s="3">
        <v>39.59</v>
      </c>
      <c r="E12" s="3">
        <v>0</v>
      </c>
      <c r="F12" s="3">
        <v>39.59</v>
      </c>
      <c r="G12" s="2" t="s">
        <v>361</v>
      </c>
      <c r="H12" s="2" t="s">
        <v>356</v>
      </c>
    </row>
    <row r="13" spans="1:8" x14ac:dyDescent="0.25">
      <c r="A13" s="2" t="s">
        <v>106</v>
      </c>
      <c r="B13" s="2" t="s">
        <v>362</v>
      </c>
      <c r="C13" s="2" t="s">
        <v>12</v>
      </c>
      <c r="D13" s="3">
        <v>0</v>
      </c>
      <c r="E13" s="3">
        <v>0.18</v>
      </c>
      <c r="F13" s="3">
        <v>0.18</v>
      </c>
      <c r="G13" s="2" t="s">
        <v>12</v>
      </c>
      <c r="H13" s="2" t="s">
        <v>345</v>
      </c>
    </row>
    <row r="14" spans="1:8" x14ac:dyDescent="0.25">
      <c r="A14" s="2" t="s">
        <v>29</v>
      </c>
      <c r="B14" s="2" t="s">
        <v>363</v>
      </c>
      <c r="C14" s="2" t="s">
        <v>12</v>
      </c>
      <c r="D14" s="3">
        <v>0</v>
      </c>
      <c r="E14" s="3">
        <v>0.16</v>
      </c>
      <c r="F14" s="3">
        <v>0.16</v>
      </c>
      <c r="G14" s="2" t="s">
        <v>12</v>
      </c>
      <c r="H14" s="2" t="s">
        <v>345</v>
      </c>
    </row>
    <row r="15" spans="1:8" x14ac:dyDescent="0.25">
      <c r="A15" s="2" t="s">
        <v>33</v>
      </c>
      <c r="B15" s="2" t="s">
        <v>364</v>
      </c>
      <c r="C15" s="2" t="s">
        <v>12</v>
      </c>
      <c r="D15" s="3">
        <v>39.99</v>
      </c>
      <c r="E15" s="3">
        <v>0.85</v>
      </c>
      <c r="F15" s="3">
        <v>39.14</v>
      </c>
      <c r="G15" s="2" t="s">
        <v>12</v>
      </c>
      <c r="H15" s="2" t="s">
        <v>347</v>
      </c>
    </row>
    <row r="16" spans="1:8" x14ac:dyDescent="0.25">
      <c r="A16" s="2" t="s">
        <v>33</v>
      </c>
      <c r="B16" s="2" t="s">
        <v>365</v>
      </c>
      <c r="C16" s="2" t="s">
        <v>12</v>
      </c>
      <c r="D16" s="3">
        <v>0.2</v>
      </c>
      <c r="E16" s="3">
        <v>0</v>
      </c>
      <c r="F16" s="3">
        <v>0.2</v>
      </c>
      <c r="G16" s="2" t="s">
        <v>12</v>
      </c>
      <c r="H16" s="2" t="s">
        <v>349</v>
      </c>
    </row>
    <row r="17" spans="1:8" x14ac:dyDescent="0.25">
      <c r="A17" s="2" t="s">
        <v>35</v>
      </c>
      <c r="B17" s="2" t="s">
        <v>366</v>
      </c>
      <c r="C17" s="2" t="s">
        <v>12</v>
      </c>
      <c r="D17" s="3">
        <v>0</v>
      </c>
      <c r="E17" s="3">
        <v>0.16</v>
      </c>
      <c r="F17" s="3">
        <v>0.16</v>
      </c>
      <c r="G17" s="2" t="s">
        <v>12</v>
      </c>
      <c r="H17" s="2" t="s">
        <v>345</v>
      </c>
    </row>
    <row r="18" spans="1:8" x14ac:dyDescent="0.25">
      <c r="A18" s="2" t="s">
        <v>37</v>
      </c>
      <c r="B18" s="2" t="s">
        <v>367</v>
      </c>
      <c r="C18" s="2" t="s">
        <v>12</v>
      </c>
      <c r="D18" s="3">
        <v>38.6</v>
      </c>
      <c r="E18" s="3">
        <v>0</v>
      </c>
      <c r="F18" s="3">
        <v>38.6</v>
      </c>
      <c r="G18" s="2" t="s">
        <v>368</v>
      </c>
      <c r="H18" s="2" t="s">
        <v>356</v>
      </c>
    </row>
    <row r="19" spans="1:8" x14ac:dyDescent="0.25">
      <c r="A19" s="2" t="s">
        <v>37</v>
      </c>
      <c r="B19" s="2" t="s">
        <v>369</v>
      </c>
      <c r="C19" s="2" t="s">
        <v>12</v>
      </c>
      <c r="D19" s="3">
        <v>38.6</v>
      </c>
      <c r="E19" s="3">
        <v>0</v>
      </c>
      <c r="F19" s="3">
        <v>38.6</v>
      </c>
      <c r="G19" s="2" t="s">
        <v>368</v>
      </c>
      <c r="H19" s="2" t="s">
        <v>356</v>
      </c>
    </row>
    <row r="20" spans="1:8" x14ac:dyDescent="0.25">
      <c r="A20" s="2" t="s">
        <v>39</v>
      </c>
      <c r="B20" s="2" t="s">
        <v>370</v>
      </c>
      <c r="C20" s="2" t="s">
        <v>12</v>
      </c>
      <c r="D20" s="3">
        <v>29.99</v>
      </c>
      <c r="E20" s="3">
        <v>0.7</v>
      </c>
      <c r="F20" s="3">
        <v>29.29</v>
      </c>
      <c r="G20" s="2" t="s">
        <v>12</v>
      </c>
      <c r="H20" s="2" t="s">
        <v>347</v>
      </c>
    </row>
    <row r="21" spans="1:8" x14ac:dyDescent="0.25">
      <c r="A21" s="2" t="s">
        <v>39</v>
      </c>
      <c r="B21" s="2" t="s">
        <v>371</v>
      </c>
      <c r="C21" s="2" t="s">
        <v>12</v>
      </c>
      <c r="D21" s="3">
        <v>0.15</v>
      </c>
      <c r="E21" s="3">
        <v>0</v>
      </c>
      <c r="F21" s="3">
        <v>0.15</v>
      </c>
      <c r="G21" s="2" t="s">
        <v>12</v>
      </c>
      <c r="H21" s="2" t="s">
        <v>349</v>
      </c>
    </row>
    <row r="22" spans="1:8" x14ac:dyDescent="0.25">
      <c r="A22" s="2" t="s">
        <v>41</v>
      </c>
      <c r="B22" s="2" t="s">
        <v>372</v>
      </c>
      <c r="C22" s="2" t="s">
        <v>12</v>
      </c>
      <c r="D22" s="3">
        <v>39.99</v>
      </c>
      <c r="E22" s="3">
        <v>1.55</v>
      </c>
      <c r="F22" s="3">
        <v>38.44</v>
      </c>
      <c r="G22" s="2" t="s">
        <v>12</v>
      </c>
      <c r="H22" s="2" t="s">
        <v>347</v>
      </c>
    </row>
    <row r="23" spans="1:8" x14ac:dyDescent="0.25">
      <c r="A23" s="2" t="s">
        <v>41</v>
      </c>
      <c r="B23" s="2" t="s">
        <v>373</v>
      </c>
      <c r="C23" s="2" t="s">
        <v>12</v>
      </c>
      <c r="D23" s="3">
        <v>0.2</v>
      </c>
      <c r="E23" s="3">
        <v>0</v>
      </c>
      <c r="F23" s="3">
        <v>0.2</v>
      </c>
      <c r="G23" s="2" t="s">
        <v>12</v>
      </c>
      <c r="H23" s="2" t="s">
        <v>349</v>
      </c>
    </row>
    <row r="24" spans="1:8" x14ac:dyDescent="0.25">
      <c r="A24" s="2" t="s">
        <v>43</v>
      </c>
      <c r="B24" s="2" t="s">
        <v>374</v>
      </c>
      <c r="C24" s="2" t="s">
        <v>12</v>
      </c>
      <c r="D24" s="3">
        <v>144.98</v>
      </c>
      <c r="E24" s="3">
        <v>2.42</v>
      </c>
      <c r="F24" s="3">
        <v>142.56</v>
      </c>
      <c r="G24" s="2" t="s">
        <v>12</v>
      </c>
      <c r="H24" s="2" t="s">
        <v>347</v>
      </c>
    </row>
    <row r="25" spans="1:8" x14ac:dyDescent="0.25">
      <c r="A25" s="2" t="s">
        <v>43</v>
      </c>
      <c r="B25" s="2" t="s">
        <v>375</v>
      </c>
      <c r="C25" s="2" t="s">
        <v>12</v>
      </c>
      <c r="D25" s="3">
        <v>0.72</v>
      </c>
      <c r="E25" s="3">
        <v>0</v>
      </c>
      <c r="F25" s="3">
        <v>0.72</v>
      </c>
      <c r="G25" s="2" t="s">
        <v>12</v>
      </c>
      <c r="H25" s="2" t="s">
        <v>349</v>
      </c>
    </row>
    <row r="26" spans="1:8" x14ac:dyDescent="0.25">
      <c r="A26" s="2" t="s">
        <v>129</v>
      </c>
      <c r="B26" s="2" t="s">
        <v>376</v>
      </c>
      <c r="C26" s="2" t="s">
        <v>12</v>
      </c>
      <c r="D26" s="3">
        <v>28.98</v>
      </c>
      <c r="E26" s="3">
        <v>0</v>
      </c>
      <c r="F26" s="3">
        <v>28.98</v>
      </c>
      <c r="G26" s="2" t="s">
        <v>377</v>
      </c>
      <c r="H26" s="2" t="s">
        <v>356</v>
      </c>
    </row>
    <row r="27" spans="1:8" x14ac:dyDescent="0.25">
      <c r="A27" s="2" t="s">
        <v>129</v>
      </c>
      <c r="B27" s="2" t="s">
        <v>378</v>
      </c>
      <c r="C27" s="2" t="s">
        <v>12</v>
      </c>
      <c r="D27" s="3">
        <v>28.98</v>
      </c>
      <c r="E27" s="3">
        <v>0</v>
      </c>
      <c r="F27" s="3">
        <v>28.98</v>
      </c>
      <c r="G27" s="2" t="s">
        <v>379</v>
      </c>
      <c r="H27" s="2" t="s">
        <v>356</v>
      </c>
    </row>
    <row r="28" spans="1:8" x14ac:dyDescent="0.25">
      <c r="A28" s="2" t="s">
        <v>194</v>
      </c>
      <c r="B28" s="2" t="s">
        <v>380</v>
      </c>
      <c r="C28" s="2" t="s">
        <v>12</v>
      </c>
      <c r="D28" s="3">
        <v>38.24</v>
      </c>
      <c r="E28" s="3">
        <v>0</v>
      </c>
      <c r="F28" s="3">
        <v>38.24</v>
      </c>
      <c r="G28" s="2" t="s">
        <v>381</v>
      </c>
      <c r="H28" s="2" t="s">
        <v>356</v>
      </c>
    </row>
    <row r="29" spans="1:8" x14ac:dyDescent="0.25">
      <c r="A29" s="2" t="s">
        <v>194</v>
      </c>
      <c r="B29" s="2" t="s">
        <v>382</v>
      </c>
      <c r="C29" s="2" t="s">
        <v>12</v>
      </c>
      <c r="D29" s="3">
        <v>38.24</v>
      </c>
      <c r="E29" s="3">
        <v>0</v>
      </c>
      <c r="F29" s="3">
        <v>38.24</v>
      </c>
      <c r="G29" s="2" t="s">
        <v>383</v>
      </c>
      <c r="H29" s="2" t="s">
        <v>356</v>
      </c>
    </row>
    <row r="30" spans="1:8" x14ac:dyDescent="0.25">
      <c r="A30" s="2" t="s">
        <v>197</v>
      </c>
      <c r="B30" s="2" t="s">
        <v>384</v>
      </c>
      <c r="C30" s="2" t="s">
        <v>12</v>
      </c>
      <c r="D30" s="3">
        <v>141.84</v>
      </c>
      <c r="E30" s="3">
        <v>0</v>
      </c>
      <c r="F30" s="3">
        <v>141.84</v>
      </c>
      <c r="G30" s="2" t="s">
        <v>385</v>
      </c>
      <c r="H30" s="2" t="s">
        <v>356</v>
      </c>
    </row>
    <row r="31" spans="1:8" x14ac:dyDescent="0.25">
      <c r="A31" s="2" t="s">
        <v>197</v>
      </c>
      <c r="B31" s="2" t="s">
        <v>386</v>
      </c>
      <c r="C31" s="2" t="s">
        <v>12</v>
      </c>
      <c r="D31" s="3">
        <v>141.84</v>
      </c>
      <c r="E31" s="3">
        <v>0</v>
      </c>
      <c r="F31" s="3">
        <v>141.84</v>
      </c>
      <c r="G31" s="2" t="s">
        <v>387</v>
      </c>
      <c r="H31" s="2" t="s">
        <v>356</v>
      </c>
    </row>
    <row r="32" spans="1:8" x14ac:dyDescent="0.25">
      <c r="A32" s="2" t="s">
        <v>45</v>
      </c>
      <c r="B32" s="2" t="s">
        <v>388</v>
      </c>
      <c r="C32" s="2" t="s">
        <v>12</v>
      </c>
      <c r="D32" s="3">
        <v>0</v>
      </c>
      <c r="E32" s="3">
        <v>0.2</v>
      </c>
      <c r="F32" s="3">
        <v>0.2</v>
      </c>
      <c r="G32" s="2" t="s">
        <v>12</v>
      </c>
      <c r="H32" s="2" t="s">
        <v>345</v>
      </c>
    </row>
    <row r="33" spans="1:8" x14ac:dyDescent="0.25">
      <c r="A33" s="2" t="s">
        <v>47</v>
      </c>
      <c r="B33" s="2" t="s">
        <v>389</v>
      </c>
      <c r="C33" s="2" t="s">
        <v>12</v>
      </c>
      <c r="D33" s="3">
        <v>69.98</v>
      </c>
      <c r="E33" s="3">
        <v>1.3</v>
      </c>
      <c r="F33" s="3">
        <v>68.68</v>
      </c>
      <c r="G33" s="2" t="s">
        <v>12</v>
      </c>
      <c r="H33" s="2" t="s">
        <v>347</v>
      </c>
    </row>
    <row r="34" spans="1:8" x14ac:dyDescent="0.25">
      <c r="A34" s="2" t="s">
        <v>47</v>
      </c>
      <c r="B34" s="2" t="s">
        <v>390</v>
      </c>
      <c r="C34" s="2" t="s">
        <v>12</v>
      </c>
      <c r="D34" s="3">
        <v>0.35</v>
      </c>
      <c r="E34" s="3">
        <v>0</v>
      </c>
      <c r="F34" s="3">
        <v>0.35</v>
      </c>
      <c r="G34" s="2" t="s">
        <v>12</v>
      </c>
      <c r="H34" s="2" t="s">
        <v>349</v>
      </c>
    </row>
    <row r="35" spans="1:8" x14ac:dyDescent="0.25">
      <c r="A35" s="2" t="s">
        <v>47</v>
      </c>
      <c r="B35" s="2" t="s">
        <v>391</v>
      </c>
      <c r="C35" s="2" t="s">
        <v>12</v>
      </c>
      <c r="D35" s="3">
        <v>0</v>
      </c>
      <c r="E35" s="3">
        <v>0.24</v>
      </c>
      <c r="F35" s="3">
        <v>0.24</v>
      </c>
      <c r="G35" s="2" t="s">
        <v>12</v>
      </c>
      <c r="H35" s="2" t="s">
        <v>345</v>
      </c>
    </row>
    <row r="36" spans="1:8" x14ac:dyDescent="0.25">
      <c r="A36" s="2" t="s">
        <v>50</v>
      </c>
      <c r="B36" s="2" t="s">
        <v>392</v>
      </c>
      <c r="C36" s="2" t="s">
        <v>12</v>
      </c>
      <c r="D36" s="3">
        <v>39.99</v>
      </c>
      <c r="E36" s="3">
        <v>0.85</v>
      </c>
      <c r="F36" s="3">
        <v>39.14</v>
      </c>
      <c r="G36" s="2" t="s">
        <v>12</v>
      </c>
      <c r="H36" s="2" t="s">
        <v>347</v>
      </c>
    </row>
    <row r="37" spans="1:8" x14ac:dyDescent="0.25">
      <c r="A37" s="2" t="s">
        <v>50</v>
      </c>
      <c r="B37" s="2" t="s">
        <v>393</v>
      </c>
      <c r="C37" s="2" t="s">
        <v>12</v>
      </c>
      <c r="D37" s="3">
        <v>0.2</v>
      </c>
      <c r="E37" s="3">
        <v>0</v>
      </c>
      <c r="F37" s="3">
        <v>0.2</v>
      </c>
      <c r="G37" s="2" t="s">
        <v>12</v>
      </c>
      <c r="H37" s="2" t="s">
        <v>349</v>
      </c>
    </row>
    <row r="38" spans="1:8" x14ac:dyDescent="0.25">
      <c r="A38" s="2" t="s">
        <v>52</v>
      </c>
      <c r="B38" s="2" t="s">
        <v>394</v>
      </c>
      <c r="C38" s="2" t="s">
        <v>12</v>
      </c>
      <c r="D38" s="3">
        <v>67.89</v>
      </c>
      <c r="E38" s="3">
        <v>0</v>
      </c>
      <c r="F38" s="3">
        <v>67.89</v>
      </c>
      <c r="G38" s="2" t="s">
        <v>395</v>
      </c>
      <c r="H38" s="2" t="s">
        <v>356</v>
      </c>
    </row>
    <row r="39" spans="1:8" x14ac:dyDescent="0.25">
      <c r="A39" s="2" t="s">
        <v>52</v>
      </c>
      <c r="B39" s="2" t="s">
        <v>396</v>
      </c>
      <c r="C39" s="2" t="s">
        <v>12</v>
      </c>
      <c r="D39" s="3">
        <v>67.89</v>
      </c>
      <c r="E39" s="3">
        <v>0</v>
      </c>
      <c r="F39" s="3">
        <v>67.89</v>
      </c>
      <c r="G39" s="2" t="s">
        <v>395</v>
      </c>
      <c r="H39" s="2" t="s">
        <v>356</v>
      </c>
    </row>
    <row r="40" spans="1:8" x14ac:dyDescent="0.25">
      <c r="A40" s="2" t="s">
        <v>52</v>
      </c>
      <c r="B40" s="2" t="s">
        <v>397</v>
      </c>
      <c r="C40" s="2" t="s">
        <v>12</v>
      </c>
      <c r="D40" s="3">
        <v>34.99</v>
      </c>
      <c r="E40" s="3">
        <v>0.77</v>
      </c>
      <c r="F40" s="3">
        <v>34.22</v>
      </c>
      <c r="G40" s="2" t="s">
        <v>395</v>
      </c>
      <c r="H40" s="2" t="s">
        <v>347</v>
      </c>
    </row>
    <row r="41" spans="1:8" x14ac:dyDescent="0.25">
      <c r="A41" s="2" t="s">
        <v>52</v>
      </c>
      <c r="B41" s="2" t="s">
        <v>398</v>
      </c>
      <c r="C41" s="2" t="s">
        <v>12</v>
      </c>
      <c r="D41" s="3">
        <v>0.17</v>
      </c>
      <c r="E41" s="3">
        <v>0</v>
      </c>
      <c r="F41" s="3">
        <v>0.17</v>
      </c>
      <c r="G41" s="2" t="s">
        <v>395</v>
      </c>
      <c r="H41" s="2" t="s">
        <v>349</v>
      </c>
    </row>
    <row r="42" spans="1:8" x14ac:dyDescent="0.25">
      <c r="A42" s="2" t="s">
        <v>54</v>
      </c>
      <c r="B42" s="2" t="s">
        <v>399</v>
      </c>
      <c r="C42" s="2" t="s">
        <v>12</v>
      </c>
      <c r="D42" s="3">
        <v>0</v>
      </c>
      <c r="E42" s="3">
        <v>0.16</v>
      </c>
      <c r="F42" s="3">
        <v>0.16</v>
      </c>
      <c r="G42" s="2" t="s">
        <v>12</v>
      </c>
      <c r="H42" s="2" t="s">
        <v>345</v>
      </c>
    </row>
    <row r="43" spans="1:8" x14ac:dyDescent="0.25">
      <c r="A43" s="2" t="s">
        <v>205</v>
      </c>
      <c r="B43" s="2" t="s">
        <v>400</v>
      </c>
      <c r="C43" s="2" t="s">
        <v>12</v>
      </c>
      <c r="D43" s="3">
        <v>38.94</v>
      </c>
      <c r="E43" s="3">
        <v>0</v>
      </c>
      <c r="F43" s="3">
        <v>38.94</v>
      </c>
      <c r="G43" s="2" t="s">
        <v>401</v>
      </c>
      <c r="H43" s="2" t="s">
        <v>356</v>
      </c>
    </row>
    <row r="44" spans="1:8" x14ac:dyDescent="0.25">
      <c r="A44" s="2" t="s">
        <v>205</v>
      </c>
      <c r="B44" s="2" t="s">
        <v>402</v>
      </c>
      <c r="C44" s="2" t="s">
        <v>12</v>
      </c>
      <c r="D44" s="3">
        <v>38.94</v>
      </c>
      <c r="E44" s="3">
        <v>0</v>
      </c>
      <c r="F44" s="3">
        <v>38.94</v>
      </c>
      <c r="G44" s="2" t="s">
        <v>403</v>
      </c>
      <c r="H44" s="2" t="s">
        <v>356</v>
      </c>
    </row>
    <row r="45" spans="1:8" x14ac:dyDescent="0.25">
      <c r="A45" s="2" t="s">
        <v>56</v>
      </c>
      <c r="B45" s="2" t="s">
        <v>404</v>
      </c>
      <c r="C45" s="2" t="s">
        <v>12</v>
      </c>
      <c r="D45" s="3">
        <v>34.05</v>
      </c>
      <c r="E45" s="3">
        <v>0</v>
      </c>
      <c r="F45" s="3">
        <v>34.05</v>
      </c>
      <c r="G45" s="2" t="s">
        <v>405</v>
      </c>
      <c r="H45" s="2" t="s">
        <v>356</v>
      </c>
    </row>
    <row r="46" spans="1:8" x14ac:dyDescent="0.25">
      <c r="A46" s="2" t="s">
        <v>56</v>
      </c>
      <c r="B46" s="2" t="s">
        <v>406</v>
      </c>
      <c r="C46" s="2" t="s">
        <v>12</v>
      </c>
      <c r="D46" s="3">
        <v>34.05</v>
      </c>
      <c r="E46" s="3">
        <v>0</v>
      </c>
      <c r="F46" s="3">
        <v>34.05</v>
      </c>
      <c r="G46" s="2" t="s">
        <v>407</v>
      </c>
      <c r="H46" s="2" t="s">
        <v>356</v>
      </c>
    </row>
    <row r="47" spans="1:8" x14ac:dyDescent="0.25">
      <c r="A47" s="2" t="s">
        <v>56</v>
      </c>
      <c r="B47" s="2" t="s">
        <v>408</v>
      </c>
      <c r="C47" s="2" t="s">
        <v>12</v>
      </c>
      <c r="D47" s="3">
        <v>0</v>
      </c>
      <c r="E47" s="3">
        <v>0.16</v>
      </c>
      <c r="F47" s="3">
        <v>0.16</v>
      </c>
      <c r="G47" s="2" t="s">
        <v>407</v>
      </c>
      <c r="H47" s="2" t="s">
        <v>345</v>
      </c>
    </row>
    <row r="48" spans="1:8" x14ac:dyDescent="0.25">
      <c r="A48" s="2" t="s">
        <v>58</v>
      </c>
      <c r="B48" s="2" t="s">
        <v>409</v>
      </c>
      <c r="C48" s="2" t="s">
        <v>12</v>
      </c>
      <c r="D48" s="3">
        <v>29.99</v>
      </c>
      <c r="E48" s="3">
        <v>1.22</v>
      </c>
      <c r="F48" s="3">
        <v>28.77</v>
      </c>
      <c r="G48" s="2" t="s">
        <v>12</v>
      </c>
      <c r="H48" s="2" t="s">
        <v>347</v>
      </c>
    </row>
    <row r="49" spans="1:8" x14ac:dyDescent="0.25">
      <c r="A49" s="2" t="s">
        <v>58</v>
      </c>
      <c r="B49" s="2" t="s">
        <v>410</v>
      </c>
      <c r="C49" s="2" t="s">
        <v>12</v>
      </c>
      <c r="D49" s="3">
        <v>0.15</v>
      </c>
      <c r="E49" s="3">
        <v>0</v>
      </c>
      <c r="F49" s="3">
        <v>0.15</v>
      </c>
      <c r="G49" s="2" t="s">
        <v>12</v>
      </c>
      <c r="H49" s="2" t="s">
        <v>349</v>
      </c>
    </row>
    <row r="50" spans="1:8" x14ac:dyDescent="0.25">
      <c r="A50" s="2" t="s">
        <v>60</v>
      </c>
      <c r="B50" s="2" t="s">
        <v>411</v>
      </c>
      <c r="C50" s="2" t="s">
        <v>12</v>
      </c>
      <c r="D50" s="3">
        <v>144.98</v>
      </c>
      <c r="E50" s="3">
        <v>2.42</v>
      </c>
      <c r="F50" s="3">
        <v>142.56</v>
      </c>
      <c r="G50" s="2" t="s">
        <v>12</v>
      </c>
      <c r="H50" s="2" t="s">
        <v>347</v>
      </c>
    </row>
    <row r="51" spans="1:8" x14ac:dyDescent="0.25">
      <c r="A51" s="2" t="s">
        <v>60</v>
      </c>
      <c r="B51" s="2" t="s">
        <v>412</v>
      </c>
      <c r="C51" s="2" t="s">
        <v>12</v>
      </c>
      <c r="D51" s="3">
        <v>0.72</v>
      </c>
      <c r="E51" s="3">
        <v>0</v>
      </c>
      <c r="F51" s="3">
        <v>0.72</v>
      </c>
      <c r="G51" s="2" t="s">
        <v>12</v>
      </c>
      <c r="H51" s="2" t="s">
        <v>349</v>
      </c>
    </row>
    <row r="52" spans="1:8" x14ac:dyDescent="0.25">
      <c r="C52" s="5" t="s">
        <v>62</v>
      </c>
      <c r="D52" s="6">
        <f>SUM(D2:D51)</f>
      </c>
      <c r="E52" s="6">
        <f>SUM(E2:E51)</f>
      </c>
      <c r="F52" s="6">
        <f>SUM(F2:F51)</f>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7" customWidth="1"/>
    <col min="3" max="3" width="23" customWidth="1"/>
    <col min="4" max="4" width="32" customWidth="1"/>
    <col min="5" max="5" width="19" customWidth="1"/>
    <col min="6" max="7" width="17" customWidth="1"/>
    <col min="8" max="8" width="29" customWidth="1"/>
  </cols>
  <sheetData>
    <row r="1" ht="24" customHeight="1" spans="1:8" x14ac:dyDescent="0.25">
      <c r="A1" s="1" t="s">
        <v>0</v>
      </c>
      <c r="B1" s="1" t="s">
        <v>413</v>
      </c>
      <c r="C1" s="1" t="s">
        <v>343</v>
      </c>
      <c r="D1" s="1" t="s">
        <v>414</v>
      </c>
      <c r="E1" s="1" t="s">
        <v>415</v>
      </c>
      <c r="F1" s="1" t="s">
        <v>416</v>
      </c>
      <c r="G1" s="1" t="s">
        <v>417</v>
      </c>
      <c r="H1" s="1" t="s">
        <v>418</v>
      </c>
    </row>
    <row r="2" spans="1:8" x14ac:dyDescent="0.25">
      <c r="A2" s="2" t="s">
        <v>419</v>
      </c>
      <c r="B2" s="2" t="s">
        <v>420</v>
      </c>
      <c r="C2" s="2" t="s">
        <v>421</v>
      </c>
      <c r="D2" s="2" t="s">
        <v>422</v>
      </c>
      <c r="E2" s="3">
        <v>-18.85</v>
      </c>
      <c r="F2" s="3">
        <v>0</v>
      </c>
      <c r="G2" s="3">
        <v>-18.85</v>
      </c>
      <c r="H2" s="2" t="s">
        <v>12</v>
      </c>
    </row>
    <row r="3" spans="1:8" x14ac:dyDescent="0.25">
      <c r="A3" s="2" t="s">
        <v>419</v>
      </c>
      <c r="B3" s="2" t="s">
        <v>423</v>
      </c>
      <c r="C3" s="2" t="s">
        <v>421</v>
      </c>
      <c r="D3" s="2" t="s">
        <v>424</v>
      </c>
      <c r="E3" s="3">
        <v>-18.85</v>
      </c>
      <c r="F3" s="3">
        <v>0</v>
      </c>
      <c r="G3" s="3">
        <v>-18.85</v>
      </c>
      <c r="H3" s="2" t="s">
        <v>12</v>
      </c>
    </row>
    <row r="4" spans="1:8" x14ac:dyDescent="0.25">
      <c r="A4" s="2" t="s">
        <v>9</v>
      </c>
      <c r="B4" s="2" t="s">
        <v>11</v>
      </c>
      <c r="C4" s="2" t="s">
        <v>425</v>
      </c>
      <c r="D4" s="2" t="s">
        <v>10</v>
      </c>
      <c r="E4" s="3">
        <v>0.09</v>
      </c>
      <c r="F4" s="3">
        <v>0</v>
      </c>
      <c r="G4" s="3">
        <v>0.09</v>
      </c>
      <c r="H4" s="2" t="s">
        <v>12</v>
      </c>
    </row>
    <row r="5" spans="1:8" x14ac:dyDescent="0.25">
      <c r="A5" s="2" t="s">
        <v>14</v>
      </c>
      <c r="B5" s="2" t="s">
        <v>15</v>
      </c>
      <c r="C5" s="2" t="s">
        <v>425</v>
      </c>
      <c r="D5" s="2" t="s">
        <v>426</v>
      </c>
      <c r="E5" s="3">
        <v>41.7</v>
      </c>
      <c r="F5" s="3">
        <v>1.71</v>
      </c>
      <c r="G5" s="3">
        <v>39.99</v>
      </c>
      <c r="H5" s="2" t="s">
        <v>12</v>
      </c>
    </row>
    <row r="6" spans="1:8" x14ac:dyDescent="0.25">
      <c r="A6" s="2" t="s">
        <v>14</v>
      </c>
      <c r="B6" s="2" t="s">
        <v>15</v>
      </c>
      <c r="C6" s="2" t="s">
        <v>427</v>
      </c>
      <c r="D6" s="2" t="s">
        <v>10</v>
      </c>
      <c r="E6" s="3">
        <v>-3.42</v>
      </c>
      <c r="F6" s="3">
        <v>1.71</v>
      </c>
      <c r="G6" s="3">
        <v>-1.71</v>
      </c>
      <c r="H6" s="2" t="s">
        <v>12</v>
      </c>
    </row>
    <row r="7" spans="1:8" x14ac:dyDescent="0.25">
      <c r="A7" s="2" t="s">
        <v>160</v>
      </c>
      <c r="B7" s="2" t="s">
        <v>428</v>
      </c>
      <c r="C7" s="2" t="s">
        <v>429</v>
      </c>
      <c r="D7" s="2" t="s">
        <v>424</v>
      </c>
      <c r="E7" s="3">
        <v>-39.52</v>
      </c>
      <c r="F7" s="3">
        <v>0</v>
      </c>
      <c r="G7" s="3">
        <v>-39.52</v>
      </c>
      <c r="H7" s="2" t="s">
        <v>12</v>
      </c>
    </row>
    <row r="8" spans="1:8" x14ac:dyDescent="0.25">
      <c r="A8" s="2" t="s">
        <v>20</v>
      </c>
      <c r="B8" s="2" t="s">
        <v>21</v>
      </c>
      <c r="C8" s="2" t="s">
        <v>427</v>
      </c>
      <c r="D8" s="2" t="s">
        <v>10</v>
      </c>
      <c r="E8" s="3">
        <v>-2.74</v>
      </c>
      <c r="F8" s="3">
        <v>1.37</v>
      </c>
      <c r="G8" s="3">
        <v>-1.37</v>
      </c>
      <c r="H8" s="2" t="s">
        <v>12</v>
      </c>
    </row>
    <row r="9" spans="1:8" x14ac:dyDescent="0.25">
      <c r="A9" s="2" t="s">
        <v>20</v>
      </c>
      <c r="B9" s="2" t="s">
        <v>21</v>
      </c>
      <c r="C9" s="2" t="s">
        <v>425</v>
      </c>
      <c r="D9" s="2" t="s">
        <v>430</v>
      </c>
      <c r="E9" s="3">
        <v>31.36</v>
      </c>
      <c r="F9" s="3">
        <v>1.37</v>
      </c>
      <c r="G9" s="3">
        <v>29.99</v>
      </c>
      <c r="H9" s="2" t="s">
        <v>12</v>
      </c>
    </row>
    <row r="10" spans="1:8" x14ac:dyDescent="0.25">
      <c r="A10" s="2" t="s">
        <v>22</v>
      </c>
      <c r="B10" s="2" t="s">
        <v>23</v>
      </c>
      <c r="C10" s="2" t="s">
        <v>425</v>
      </c>
      <c r="D10" s="2" t="s">
        <v>430</v>
      </c>
      <c r="E10" s="3">
        <v>31.36</v>
      </c>
      <c r="F10" s="3">
        <v>1.37</v>
      </c>
      <c r="G10" s="3">
        <v>29.99</v>
      </c>
      <c r="H10" s="2" t="s">
        <v>12</v>
      </c>
    </row>
    <row r="11" spans="1:8" x14ac:dyDescent="0.25">
      <c r="A11" s="2" t="s">
        <v>22</v>
      </c>
      <c r="B11" s="2" t="s">
        <v>23</v>
      </c>
      <c r="C11" s="2" t="s">
        <v>427</v>
      </c>
      <c r="D11" s="2" t="s">
        <v>10</v>
      </c>
      <c r="E11" s="3">
        <v>-2.74</v>
      </c>
      <c r="F11" s="3">
        <v>1.37</v>
      </c>
      <c r="G11" s="3">
        <v>-1.37</v>
      </c>
      <c r="H11" s="2" t="s">
        <v>12</v>
      </c>
    </row>
    <row r="12" spans="1:8" x14ac:dyDescent="0.25">
      <c r="A12" s="2" t="s">
        <v>84</v>
      </c>
      <c r="B12" s="2" t="s">
        <v>431</v>
      </c>
      <c r="C12" s="2" t="s">
        <v>429</v>
      </c>
      <c r="D12" s="2" t="s">
        <v>424</v>
      </c>
      <c r="E12" s="3">
        <v>-57.24</v>
      </c>
      <c r="F12" s="3">
        <v>0</v>
      </c>
      <c r="G12" s="3">
        <v>-57.24</v>
      </c>
      <c r="H12" s="2" t="s">
        <v>12</v>
      </c>
    </row>
    <row r="13" spans="1:8" x14ac:dyDescent="0.25">
      <c r="A13" s="2" t="s">
        <v>25</v>
      </c>
      <c r="B13" s="2" t="s">
        <v>26</v>
      </c>
      <c r="C13" s="2" t="s">
        <v>425</v>
      </c>
      <c r="D13" s="2" t="s">
        <v>432</v>
      </c>
      <c r="E13" s="3">
        <v>41.7</v>
      </c>
      <c r="F13" s="3">
        <v>1.71</v>
      </c>
      <c r="G13" s="3">
        <v>39.99</v>
      </c>
      <c r="H13" s="2" t="s">
        <v>12</v>
      </c>
    </row>
    <row r="14" spans="1:8" x14ac:dyDescent="0.25">
      <c r="A14" s="2" t="s">
        <v>25</v>
      </c>
      <c r="B14" s="2" t="s">
        <v>26</v>
      </c>
      <c r="C14" s="2" t="s">
        <v>427</v>
      </c>
      <c r="D14" s="2" t="s">
        <v>10</v>
      </c>
      <c r="E14" s="3">
        <v>-3.42</v>
      </c>
      <c r="F14" s="3">
        <v>1.71</v>
      </c>
      <c r="G14" s="3">
        <v>-1.71</v>
      </c>
      <c r="H14" s="2" t="s">
        <v>12</v>
      </c>
    </row>
    <row r="15" spans="1:8" x14ac:dyDescent="0.25">
      <c r="A15" s="2" t="s">
        <v>27</v>
      </c>
      <c r="B15" s="2" t="s">
        <v>28</v>
      </c>
      <c r="C15" s="2" t="s">
        <v>425</v>
      </c>
      <c r="D15" s="2" t="s">
        <v>10</v>
      </c>
      <c r="E15" s="3">
        <v>18.85</v>
      </c>
      <c r="F15" s="3">
        <v>0</v>
      </c>
      <c r="G15" s="3">
        <v>18.85</v>
      </c>
      <c r="H15" s="2" t="s">
        <v>12</v>
      </c>
    </row>
    <row r="16" spans="1:8" x14ac:dyDescent="0.25">
      <c r="A16" s="2" t="s">
        <v>27</v>
      </c>
      <c r="B16" s="2" t="s">
        <v>433</v>
      </c>
      <c r="C16" s="2" t="s">
        <v>421</v>
      </c>
      <c r="D16" s="2" t="s">
        <v>422</v>
      </c>
      <c r="E16" s="3">
        <v>-18.85</v>
      </c>
      <c r="F16" s="3">
        <v>0</v>
      </c>
      <c r="G16" s="3">
        <v>-18.85</v>
      </c>
      <c r="H16" s="2" t="s">
        <v>12</v>
      </c>
    </row>
    <row r="17" spans="1:8" x14ac:dyDescent="0.25">
      <c r="A17" s="2" t="s">
        <v>29</v>
      </c>
      <c r="B17" s="2" t="s">
        <v>434</v>
      </c>
      <c r="C17" s="2" t="s">
        <v>429</v>
      </c>
      <c r="D17" s="2" t="s">
        <v>424</v>
      </c>
      <c r="E17" s="3">
        <v>-19.43</v>
      </c>
      <c r="F17" s="3">
        <v>0</v>
      </c>
      <c r="G17" s="3">
        <v>-19.43</v>
      </c>
      <c r="H17" s="2" t="s">
        <v>12</v>
      </c>
    </row>
    <row r="18" spans="1:8" x14ac:dyDescent="0.25">
      <c r="A18" s="2" t="s">
        <v>29</v>
      </c>
      <c r="B18" s="2" t="s">
        <v>30</v>
      </c>
      <c r="C18" s="2" t="s">
        <v>425</v>
      </c>
      <c r="D18" s="2" t="s">
        <v>430</v>
      </c>
      <c r="E18" s="3">
        <v>31.36</v>
      </c>
      <c r="F18" s="3">
        <v>1.37</v>
      </c>
      <c r="G18" s="3">
        <v>29.99</v>
      </c>
      <c r="H18" s="2" t="s">
        <v>12</v>
      </c>
    </row>
    <row r="19" spans="1:8" x14ac:dyDescent="0.25">
      <c r="A19" s="2" t="s">
        <v>29</v>
      </c>
      <c r="B19" s="2" t="s">
        <v>30</v>
      </c>
      <c r="C19" s="2" t="s">
        <v>427</v>
      </c>
      <c r="D19" s="2" t="s">
        <v>10</v>
      </c>
      <c r="E19" s="3">
        <v>-2.74</v>
      </c>
      <c r="F19" s="3">
        <v>1.37</v>
      </c>
      <c r="G19" s="3">
        <v>-1.37</v>
      </c>
      <c r="H19" s="2" t="s">
        <v>12</v>
      </c>
    </row>
    <row r="20" spans="1:8" x14ac:dyDescent="0.25">
      <c r="A20" s="2" t="s">
        <v>31</v>
      </c>
      <c r="B20" s="2" t="s">
        <v>32</v>
      </c>
      <c r="C20" s="2" t="s">
        <v>425</v>
      </c>
      <c r="D20" s="2" t="s">
        <v>10</v>
      </c>
      <c r="E20" s="3">
        <v>0.09</v>
      </c>
      <c r="F20" s="3">
        <v>0</v>
      </c>
      <c r="G20" s="3">
        <v>0.09</v>
      </c>
      <c r="H20" s="2" t="s">
        <v>12</v>
      </c>
    </row>
    <row r="21" spans="1:8" x14ac:dyDescent="0.25">
      <c r="A21" s="2" t="s">
        <v>113</v>
      </c>
      <c r="B21" s="2" t="s">
        <v>435</v>
      </c>
      <c r="C21" s="2" t="s">
        <v>421</v>
      </c>
      <c r="D21" s="2" t="s">
        <v>436</v>
      </c>
      <c r="E21" s="3">
        <v>-681.49</v>
      </c>
      <c r="F21" s="3">
        <v>0</v>
      </c>
      <c r="G21" s="3">
        <v>-681.49</v>
      </c>
      <c r="H21" s="2" t="s">
        <v>12</v>
      </c>
    </row>
    <row r="22" spans="1:8" x14ac:dyDescent="0.25">
      <c r="A22" s="2" t="s">
        <v>113</v>
      </c>
      <c r="B22" s="2" t="s">
        <v>437</v>
      </c>
      <c r="C22" s="2" t="s">
        <v>421</v>
      </c>
      <c r="D22" s="2" t="s">
        <v>424</v>
      </c>
      <c r="E22" s="3">
        <v>-25.42</v>
      </c>
      <c r="F22" s="3">
        <v>0</v>
      </c>
      <c r="G22" s="3">
        <v>-25.42</v>
      </c>
      <c r="H22" s="2" t="s">
        <v>12</v>
      </c>
    </row>
    <row r="23" spans="1:8" x14ac:dyDescent="0.25">
      <c r="A23" s="2" t="s">
        <v>113</v>
      </c>
      <c r="B23" s="2" t="s">
        <v>438</v>
      </c>
      <c r="C23" s="2" t="s">
        <v>421</v>
      </c>
      <c r="D23" s="2" t="s">
        <v>439</v>
      </c>
      <c r="E23" s="3">
        <v>-25.42</v>
      </c>
      <c r="F23" s="3">
        <v>0</v>
      </c>
      <c r="G23" s="3">
        <v>-25.42</v>
      </c>
      <c r="H23" s="2" t="s">
        <v>12</v>
      </c>
    </row>
    <row r="24" spans="1:8" x14ac:dyDescent="0.25">
      <c r="A24" s="2" t="s">
        <v>35</v>
      </c>
      <c r="B24" s="2" t="s">
        <v>36</v>
      </c>
      <c r="C24" s="2" t="s">
        <v>425</v>
      </c>
      <c r="D24" s="2" t="s">
        <v>430</v>
      </c>
      <c r="E24" s="3">
        <v>31.36</v>
      </c>
      <c r="F24" s="3">
        <v>1.37</v>
      </c>
      <c r="G24" s="3">
        <v>29.99</v>
      </c>
      <c r="H24" s="2" t="s">
        <v>12</v>
      </c>
    </row>
    <row r="25" spans="1:8" x14ac:dyDescent="0.25">
      <c r="A25" s="2" t="s">
        <v>35</v>
      </c>
      <c r="B25" s="2" t="s">
        <v>36</v>
      </c>
      <c r="C25" s="2" t="s">
        <v>427</v>
      </c>
      <c r="D25" s="2" t="s">
        <v>10</v>
      </c>
      <c r="E25" s="3">
        <v>-2.74</v>
      </c>
      <c r="F25" s="3">
        <v>1.37</v>
      </c>
      <c r="G25" s="3">
        <v>-1.37</v>
      </c>
      <c r="H25" s="2" t="s">
        <v>12</v>
      </c>
    </row>
    <row r="26" spans="1:8" x14ac:dyDescent="0.25">
      <c r="A26" s="2" t="s">
        <v>117</v>
      </c>
      <c r="B26" s="2" t="s">
        <v>440</v>
      </c>
      <c r="C26" s="2" t="s">
        <v>429</v>
      </c>
      <c r="D26" s="2" t="s">
        <v>424</v>
      </c>
      <c r="E26" s="3">
        <v>-33.2</v>
      </c>
      <c r="F26" s="3">
        <v>0</v>
      </c>
      <c r="G26" s="3">
        <v>-33.2</v>
      </c>
      <c r="H26" s="2" t="s">
        <v>12</v>
      </c>
    </row>
    <row r="27" spans="1:8" x14ac:dyDescent="0.25">
      <c r="A27" s="2" t="s">
        <v>37</v>
      </c>
      <c r="B27" s="2" t="s">
        <v>38</v>
      </c>
      <c r="C27" s="2" t="s">
        <v>425</v>
      </c>
      <c r="D27" s="2" t="s">
        <v>10</v>
      </c>
      <c r="E27" s="3">
        <v>0.13</v>
      </c>
      <c r="F27" s="3">
        <v>0</v>
      </c>
      <c r="G27" s="3">
        <v>0.13</v>
      </c>
      <c r="H27" s="2" t="s">
        <v>12</v>
      </c>
    </row>
    <row r="28" spans="1:8" x14ac:dyDescent="0.25">
      <c r="A28" s="2" t="s">
        <v>129</v>
      </c>
      <c r="B28" s="2" t="s">
        <v>441</v>
      </c>
      <c r="C28" s="2" t="s">
        <v>429</v>
      </c>
      <c r="D28" s="2" t="s">
        <v>424</v>
      </c>
      <c r="E28" s="3">
        <v>-0.13</v>
      </c>
      <c r="F28" s="3">
        <v>0</v>
      </c>
      <c r="G28" s="3">
        <v>-0.13</v>
      </c>
      <c r="H28" s="2" t="s">
        <v>12</v>
      </c>
    </row>
    <row r="29" spans="1:8" x14ac:dyDescent="0.25">
      <c r="A29" s="2" t="s">
        <v>133</v>
      </c>
      <c r="B29" s="2" t="s">
        <v>442</v>
      </c>
      <c r="C29" s="2" t="s">
        <v>421</v>
      </c>
      <c r="D29" s="2" t="s">
        <v>320</v>
      </c>
      <c r="E29" s="3">
        <v>-27.99</v>
      </c>
      <c r="F29" s="3">
        <v>0</v>
      </c>
      <c r="G29" s="3">
        <v>-27.99</v>
      </c>
      <c r="H29" s="2" t="s">
        <v>12</v>
      </c>
    </row>
    <row r="30" spans="1:8" x14ac:dyDescent="0.25">
      <c r="A30" s="2" t="s">
        <v>45</v>
      </c>
      <c r="B30" s="2" t="s">
        <v>46</v>
      </c>
      <c r="C30" s="2" t="s">
        <v>425</v>
      </c>
      <c r="D30" s="2" t="s">
        <v>443</v>
      </c>
      <c r="E30" s="3">
        <v>52.04</v>
      </c>
      <c r="F30" s="3">
        <v>2.05</v>
      </c>
      <c r="G30" s="3">
        <v>49.99</v>
      </c>
      <c r="H30" s="2" t="s">
        <v>12</v>
      </c>
    </row>
    <row r="31" spans="1:8" x14ac:dyDescent="0.25">
      <c r="A31" s="2" t="s">
        <v>45</v>
      </c>
      <c r="B31" s="2" t="s">
        <v>46</v>
      </c>
      <c r="C31" s="2" t="s">
        <v>427</v>
      </c>
      <c r="D31" s="2" t="s">
        <v>10</v>
      </c>
      <c r="E31" s="3">
        <v>-4.1</v>
      </c>
      <c r="F31" s="3">
        <v>2.05</v>
      </c>
      <c r="G31" s="3">
        <v>-2.05</v>
      </c>
      <c r="H31" s="2" t="s">
        <v>12</v>
      </c>
    </row>
    <row r="32" spans="1:8" x14ac:dyDescent="0.25">
      <c r="A32" s="2" t="s">
        <v>47</v>
      </c>
      <c r="B32" s="2" t="s">
        <v>48</v>
      </c>
      <c r="C32" s="2" t="s">
        <v>427</v>
      </c>
      <c r="D32" s="2" t="s">
        <v>10</v>
      </c>
      <c r="E32" s="3">
        <v>-5.62</v>
      </c>
      <c r="F32" s="3">
        <v>2.81</v>
      </c>
      <c r="G32" s="3">
        <v>-2.81</v>
      </c>
      <c r="H32" s="2" t="s">
        <v>12</v>
      </c>
    </row>
    <row r="33" spans="1:8" x14ac:dyDescent="0.25">
      <c r="A33" s="2" t="s">
        <v>47</v>
      </c>
      <c r="B33" s="2" t="s">
        <v>48</v>
      </c>
      <c r="C33" s="2" t="s">
        <v>425</v>
      </c>
      <c r="D33" s="2" t="s">
        <v>444</v>
      </c>
      <c r="E33" s="3">
        <v>75.29</v>
      </c>
      <c r="F33" s="3">
        <v>2.81</v>
      </c>
      <c r="G33" s="3">
        <v>72.48</v>
      </c>
      <c r="H33" s="2" t="s">
        <v>12</v>
      </c>
    </row>
    <row r="34" spans="1:8" x14ac:dyDescent="0.25">
      <c r="A34" s="2" t="s">
        <v>201</v>
      </c>
      <c r="B34" s="2" t="s">
        <v>445</v>
      </c>
      <c r="C34" s="2" t="s">
        <v>429</v>
      </c>
      <c r="D34" s="2" t="s">
        <v>424</v>
      </c>
      <c r="E34" s="3">
        <v>-117.61</v>
      </c>
      <c r="F34" s="3">
        <v>0</v>
      </c>
      <c r="G34" s="3">
        <v>-117.61</v>
      </c>
      <c r="H34" s="2" t="s">
        <v>12</v>
      </c>
    </row>
    <row r="35" spans="1:8" x14ac:dyDescent="0.25">
      <c r="A35" s="2" t="s">
        <v>54</v>
      </c>
      <c r="B35" s="2" t="s">
        <v>55</v>
      </c>
      <c r="C35" s="2" t="s">
        <v>425</v>
      </c>
      <c r="D35" s="2" t="s">
        <v>430</v>
      </c>
      <c r="E35" s="3">
        <v>31.36</v>
      </c>
      <c r="F35" s="3">
        <v>1.37</v>
      </c>
      <c r="G35" s="3">
        <v>29.99</v>
      </c>
      <c r="H35" s="2" t="s">
        <v>12</v>
      </c>
    </row>
    <row r="36" spans="1:8" x14ac:dyDescent="0.25">
      <c r="A36" s="2" t="s">
        <v>54</v>
      </c>
      <c r="B36" s="2" t="s">
        <v>55</v>
      </c>
      <c r="C36" s="2" t="s">
        <v>427</v>
      </c>
      <c r="D36" s="2" t="s">
        <v>10</v>
      </c>
      <c r="E36" s="3">
        <v>-2.74</v>
      </c>
      <c r="F36" s="3">
        <v>1.37</v>
      </c>
      <c r="G36" s="3">
        <v>-1.37</v>
      </c>
      <c r="H36" s="2" t="s">
        <v>12</v>
      </c>
    </row>
    <row r="37" spans="1:8" x14ac:dyDescent="0.25">
      <c r="A37" s="2" t="s">
        <v>205</v>
      </c>
      <c r="B37" s="2" t="s">
        <v>446</v>
      </c>
      <c r="C37" s="2" t="s">
        <v>429</v>
      </c>
      <c r="D37" s="2" t="s">
        <v>424</v>
      </c>
      <c r="E37" s="3">
        <v>-28.62</v>
      </c>
      <c r="F37" s="3">
        <v>0</v>
      </c>
      <c r="G37" s="3">
        <v>-28.62</v>
      </c>
      <c r="H37" s="2" t="s">
        <v>12</v>
      </c>
    </row>
    <row r="38" spans="1:8" x14ac:dyDescent="0.25">
      <c r="A38" s="2" t="s">
        <v>205</v>
      </c>
      <c r="B38" s="2" t="s">
        <v>447</v>
      </c>
      <c r="C38" s="2" t="s">
        <v>421</v>
      </c>
      <c r="D38" s="2" t="s">
        <v>330</v>
      </c>
      <c r="E38" s="3">
        <v>-21.99</v>
      </c>
      <c r="F38" s="3">
        <v>0</v>
      </c>
      <c r="G38" s="3">
        <v>-21.99</v>
      </c>
      <c r="H38" s="2" t="s">
        <v>12</v>
      </c>
    </row>
    <row r="39" spans="1:8" x14ac:dyDescent="0.25">
      <c r="A39" s="2" t="s">
        <v>56</v>
      </c>
      <c r="B39" s="2" t="s">
        <v>57</v>
      </c>
      <c r="C39" s="2" t="s">
        <v>427</v>
      </c>
      <c r="D39" s="2" t="s">
        <v>10</v>
      </c>
      <c r="E39" s="3">
        <v>-2.74</v>
      </c>
      <c r="F39" s="3">
        <v>1.37</v>
      </c>
      <c r="G39" s="3">
        <v>-1.37</v>
      </c>
      <c r="H39" s="2" t="s">
        <v>12</v>
      </c>
    </row>
    <row r="40" spans="1:8" x14ac:dyDescent="0.25">
      <c r="A40" s="2" t="s">
        <v>56</v>
      </c>
      <c r="B40" s="2" t="s">
        <v>57</v>
      </c>
      <c r="C40" s="2" t="s">
        <v>425</v>
      </c>
      <c r="D40" s="2" t="s">
        <v>430</v>
      </c>
      <c r="E40" s="3">
        <v>31.36</v>
      </c>
      <c r="F40" s="3">
        <v>1.37</v>
      </c>
      <c r="G40" s="3">
        <v>29.99</v>
      </c>
      <c r="H40" s="2" t="s">
        <v>12</v>
      </c>
    </row>
    <row r="41" spans="1:8" x14ac:dyDescent="0.25">
      <c r="A41" s="2" t="s">
        <v>213</v>
      </c>
      <c r="B41" s="2" t="s">
        <v>448</v>
      </c>
      <c r="C41" s="2" t="s">
        <v>429</v>
      </c>
      <c r="D41" s="2" t="s">
        <v>424</v>
      </c>
      <c r="E41" s="3">
        <v>-28.62</v>
      </c>
      <c r="F41" s="3">
        <v>0</v>
      </c>
      <c r="G41" s="3">
        <v>-28.62</v>
      </c>
      <c r="H41" s="2" t="s">
        <v>12</v>
      </c>
    </row>
    <row r="42" spans="1:8" x14ac:dyDescent="0.25">
      <c r="D42" s="5" t="s">
        <v>62</v>
      </c>
      <c r="E42" s="6">
        <f>SUM(E2:E41)</f>
      </c>
      <c r="F42" s="6">
        <f>SUM(F2:F41)</f>
      </c>
      <c r="G42" s="6">
        <f>SUM(G2:G41)</f>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FormatPr defaultRowHeight="15" outlineLevelRow="0" outlineLevelCol="0" x14ac:dyDescent="55"/>
  <cols>
    <col min="1" max="1" width="64" customWidth="1"/>
    <col min="2" max="2" width="27" customWidth="1"/>
    <col min="3" max="3" width="45" customWidth="1"/>
    <col min="4" max="4" width="12" customWidth="1"/>
    <col min="5" max="5" width="13" customWidth="1"/>
    <col min="6" max="6" width="12" customWidth="1"/>
  </cols>
  <sheetData>
    <row r="1" spans="1:6" x14ac:dyDescent="0.25">
      <c r="A1" s="12" t="s">
        <v>449</v>
      </c>
    </row>
    <row r="2" spans="1:6" x14ac:dyDescent="0.25">
      <c r="A2" t="s">
        <v>450</v>
      </c>
    </row>
    <row r="3" spans="1:6" x14ac:dyDescent="0.25">
      <c r="A3" t="s">
        <v>451</v>
      </c>
    </row>
    <row r="4" spans="1:6" x14ac:dyDescent="0.25"/>
    <row r="5" spans="1:6" x14ac:dyDescent="0.25">
      <c r="A5" s="8" t="s">
        <v>452</v>
      </c>
    </row>
    <row r="6" ht="24" customHeight="1" spans="1:6" x14ac:dyDescent="0.25">
      <c r="A6" s="1" t="s">
        <v>453</v>
      </c>
      <c r="B6" s="1" t="s">
        <v>454</v>
      </c>
      <c r="C6" s="1" t="s">
        <v>455</v>
      </c>
      <c r="D6" s="1" t="s">
        <v>456</v>
      </c>
      <c r="E6" s="1" t="s">
        <v>457</v>
      </c>
      <c r="F6" s="1" t="s">
        <v>458</v>
      </c>
    </row>
    <row r="7" spans="1:6" x14ac:dyDescent="0.25">
      <c r="A7" s="2" t="s">
        <v>459</v>
      </c>
      <c r="B7" s="2" t="s">
        <v>460</v>
      </c>
      <c r="C7" s="2">
        <v>4</v>
      </c>
      <c r="D7" s="2">
        <v>0</v>
      </c>
      <c r="E7" s="2">
        <v>4</v>
      </c>
      <c r="F7" s="4" t="s">
        <v>461</v>
      </c>
    </row>
    <row r="8" spans="1:6" x14ac:dyDescent="0.25">
      <c r="A8" s="2" t="s">
        <v>462</v>
      </c>
      <c r="B8" s="2" t="s">
        <v>463</v>
      </c>
      <c r="C8" s="3">
        <v>76.9</v>
      </c>
      <c r="D8" s="3">
        <v>0</v>
      </c>
      <c r="E8" s="3">
        <v>76.9</v>
      </c>
      <c r="F8" s="4" t="s">
        <v>461</v>
      </c>
    </row>
    <row r="9" spans="1:6" x14ac:dyDescent="0.25">
      <c r="A9" s="2" t="s">
        <v>464</v>
      </c>
      <c r="B9" s="2" t="s">
        <v>465</v>
      </c>
      <c r="C9" s="3">
        <v>40</v>
      </c>
      <c r="D9" s="3">
        <v>0</v>
      </c>
      <c r="E9" s="3">
        <v>40</v>
      </c>
      <c r="F9" s="4" t="s">
        <v>461</v>
      </c>
    </row>
    <row r="10" spans="1:6" x14ac:dyDescent="0.25">
      <c r="A10" s="2" t="s">
        <v>466</v>
      </c>
      <c r="B10" s="2" t="s">
        <v>467</v>
      </c>
      <c r="C10" s="3">
        <v>18.85</v>
      </c>
      <c r="D10" s="3">
        <v>0</v>
      </c>
      <c r="E10" s="3">
        <v>18.85</v>
      </c>
      <c r="F10" s="4" t="s">
        <v>461</v>
      </c>
    </row>
    <row r="11" spans="1:6" x14ac:dyDescent="0.25">
      <c r="A11" s="2" t="s">
        <v>468</v>
      </c>
      <c r="B11" s="2" t="s">
        <v>469</v>
      </c>
      <c r="C11" s="3">
        <v>19.84</v>
      </c>
      <c r="D11" s="3">
        <v>0</v>
      </c>
      <c r="E11" s="3">
        <v>19.84</v>
      </c>
      <c r="F11" s="4" t="s">
        <v>461</v>
      </c>
    </row>
    <row r="12" spans="1:6" x14ac:dyDescent="0.25">
      <c r="A12" s="2" t="s">
        <v>470</v>
      </c>
      <c r="B12" s="2" t="s">
        <v>471</v>
      </c>
      <c r="C12" s="2">
        <v>1</v>
      </c>
      <c r="D12" s="2">
        <v>0</v>
      </c>
      <c r="E12" s="2">
        <v>1</v>
      </c>
      <c r="F12" s="4" t="s">
        <v>461</v>
      </c>
    </row>
    <row r="13" spans="1:6" x14ac:dyDescent="0.25">
      <c r="A13" s="2" t="s">
        <v>472</v>
      </c>
      <c r="B13" s="2" t="s">
        <v>473</v>
      </c>
      <c r="C13" s="2">
        <v>2</v>
      </c>
      <c r="D13" s="2">
        <v>0</v>
      </c>
      <c r="E13" s="2">
        <v>2</v>
      </c>
      <c r="F13" s="4" t="s">
        <v>461</v>
      </c>
    </row>
    <row r="14" spans="1:6" x14ac:dyDescent="0.25">
      <c r="A14" s="2" t="s">
        <v>474</v>
      </c>
      <c r="B14" s="2" t="s">
        <v>475</v>
      </c>
      <c r="C14" s="2">
        <v>0</v>
      </c>
      <c r="D14" s="2">
        <v>0</v>
      </c>
      <c r="E14" s="2">
        <v>0</v>
      </c>
      <c r="F14" s="2" t="s">
        <v>476</v>
      </c>
    </row>
    <row r="15" spans="1:6" x14ac:dyDescent="0.25">
      <c r="A15" s="2" t="s">
        <v>477</v>
      </c>
      <c r="B15" s="2" t="s">
        <v>478</v>
      </c>
      <c r="C15" s="2">
        <v>3</v>
      </c>
      <c r="D15" s="2">
        <v>0</v>
      </c>
      <c r="E15" s="2">
        <v>3</v>
      </c>
      <c r="F15" s="4" t="s">
        <v>461</v>
      </c>
    </row>
    <row r="16" spans="1:6" x14ac:dyDescent="0.25">
      <c r="A16" s="2" t="s">
        <v>479</v>
      </c>
      <c r="B16" s="2" t="s">
        <v>480</v>
      </c>
      <c r="C16" s="2">
        <v>2</v>
      </c>
      <c r="D16" s="2">
        <v>0</v>
      </c>
      <c r="E16" s="2">
        <v>2</v>
      </c>
      <c r="F16" s="4" t="s">
        <v>461</v>
      </c>
    </row>
    <row r="17" spans="1:6" x14ac:dyDescent="0.25"/>
    <row r="18" spans="1:6" x14ac:dyDescent="0.25">
      <c r="A18" s="8" t="s">
        <v>481</v>
      </c>
    </row>
    <row r="19" ht="24" customHeight="1" spans="1:6" x14ac:dyDescent="0.25">
      <c r="A19" s="1" t="s">
        <v>482</v>
      </c>
      <c r="B19" s="1" t="s">
        <v>483</v>
      </c>
      <c r="C19" s="1" t="s">
        <v>484</v>
      </c>
    </row>
    <row r="20" spans="1:6" x14ac:dyDescent="0.25">
      <c r="A20" s="2" t="s">
        <v>485</v>
      </c>
      <c r="B20" s="3">
        <v>0</v>
      </c>
      <c r="C20" s="2" t="s">
        <v>486</v>
      </c>
    </row>
    <row r="21" spans="1:6" x14ac:dyDescent="0.25">
      <c r="A21" s="2" t="s">
        <v>487</v>
      </c>
      <c r="B21" s="3">
        <v>655.84</v>
      </c>
      <c r="C21" s="2" t="s">
        <v>488</v>
      </c>
    </row>
    <row r="22" spans="1:6" x14ac:dyDescent="0.25">
      <c r="A22" s="2" t="s">
        <v>489</v>
      </c>
      <c r="B22" s="3">
        <v>401.55</v>
      </c>
      <c r="C22" s="2" t="s">
        <v>490</v>
      </c>
    </row>
    <row r="23" spans="1:6" x14ac:dyDescent="0.25"/>
    <row r="24" spans="1:6" x14ac:dyDescent="0.25">
      <c r="A24" s="8" t="s">
        <v>491</v>
      </c>
    </row>
    <row r="25" ht="24" customHeight="1" spans="1:6" x14ac:dyDescent="0.25">
      <c r="A25" s="1" t="s">
        <v>219</v>
      </c>
      <c r="B25" s="1" t="s">
        <v>220</v>
      </c>
      <c r="C25" s="1" t="s">
        <v>484</v>
      </c>
    </row>
    <row r="26" spans="1:6" x14ac:dyDescent="0.25">
      <c r="A26" s="2" t="s">
        <v>492</v>
      </c>
      <c r="B26" s="3">
        <v>32120.48</v>
      </c>
      <c r="C26" s="2" t="s">
        <v>493</v>
      </c>
    </row>
    <row r="27" spans="1:6" x14ac:dyDescent="0.25">
      <c r="A27" s="2" t="s">
        <v>494</v>
      </c>
      <c r="B27" s="3">
        <v>5388.92</v>
      </c>
      <c r="C27" s="2" t="s">
        <v>495</v>
      </c>
    </row>
    <row r="28" spans="1:6" x14ac:dyDescent="0.25">
      <c r="A28" s="2" t="s">
        <v>496</v>
      </c>
      <c r="B28" s="3">
        <v>5027.16</v>
      </c>
      <c r="C28" s="2" t="s">
        <v>495</v>
      </c>
    </row>
    <row r="29" spans="1:6" x14ac:dyDescent="0.25">
      <c r="A29" s="2" t="s">
        <v>497</v>
      </c>
      <c r="B29" s="3">
        <v>32482.24</v>
      </c>
      <c r="C29" s="2" t="s">
        <v>498</v>
      </c>
    </row>
    <row r="30" spans="1:6" x14ac:dyDescent="0.25">
      <c r="A30" s="2" t="s">
        <v>499</v>
      </c>
      <c r="B30" s="3">
        <v>32442.24</v>
      </c>
      <c r="C30" s="2" t="s">
        <v>493</v>
      </c>
    </row>
    <row r="31" spans="1:6" x14ac:dyDescent="0.25">
      <c r="A31" s="2" t="s">
        <v>500</v>
      </c>
      <c r="B31" s="3">
        <v>40</v>
      </c>
      <c r="C31" s="2" t="s">
        <v>501</v>
      </c>
    </row>
    <row r="32" spans="1:6" x14ac:dyDescent="0.25"/>
    <row r="33" spans="1:6" x14ac:dyDescent="0.25">
      <c r="A33" s="13" t="s">
        <v>502</v>
      </c>
    </row>
    <row r="34" spans="1:6" x14ac:dyDescent="0.25">
      <c r="A34" t="s">
        <v>503</v>
      </c>
    </row>
    <row r="35" spans="1:6" x14ac:dyDescent="0.25">
      <c r="A35" t="s">
        <v>504</v>
      </c>
    </row>
    <row r="36" spans="1:6" x14ac:dyDescent="0.25">
      <c r="A36" t="s">
        <v>505</v>
      </c>
    </row>
    <row r="37" spans="1:6" x14ac:dyDescent="0.25">
      <c r="A37" t="s">
        <v>506</v>
      </c>
    </row>
    <row r="38" spans="1:6" x14ac:dyDescent="0.25">
      <c r="A38" t="s">
        <v>507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Corrispettivi</vt:lpstr>
      <vt:lpstr>Acquisti</vt:lpstr>
      <vt:lpstr>Banca</vt:lpstr>
      <vt:lpstr>Liquidazione IVA</vt:lpstr>
      <vt:lpstr>Da chiarire</vt:lpstr>
      <vt:lpstr>Prima Nota (Master)</vt:lpstr>
      <vt:lpstr>Dettaglio Gateway Stripe</vt:lpstr>
      <vt:lpstr>Dettaglio Gateway PayPal</vt:lpstr>
      <vt:lpstr>Quadratura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FloreMoria</dc:creator>
  <dc:title/>
  <dc:subject/>
  <dc:description>dossier-fiscale-metodo-v1.9 · T1 2026</dc:description>
  <cp:keywords/>
  <cp:category/>
  <cp:lastModifiedBy>Unknown</cp:lastModifiedBy>
  <dcterms:created xsi:type="dcterms:W3CDTF">2026-09-09T17:07:06Z</dcterms:created>
  <dcterms:modified xsi:type="dcterms:W3CDTF">2026-09-09T17:07:06Z</dcterms:modified>
</cp:coreProperties>
</file>