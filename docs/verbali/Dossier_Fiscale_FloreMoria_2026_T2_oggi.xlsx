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rispettivi" state="visible" r:id="rId4"/>
    <sheet sheetId="2" name="Acquisti" state="visible" r:id="rId5"/>
    <sheet sheetId="3" name="Banca" state="visible" r:id="rId6"/>
    <sheet sheetId="4" name="Liquidazione IVA" state="visible" r:id="rId7"/>
    <sheet sheetId="5" name="Da chiarire" state="visible" r:id="rId8"/>
    <sheet sheetId="6" name="Prima Nota (Master)" state="visible" r:id="rId9"/>
    <sheet sheetId="7" name="Dettaglio Gateway Stripe" state="visible" r:id="rId10"/>
    <sheet sheetId="8" name="Dettaglio Gateway PayPal" state="visible" r:id="rId11"/>
    <sheet sheetId="9" name="Quadratura" state="visible" r:id="rId12"/>
  </sheets>
  <calcPr calcId="171027"/>
</workbook>
</file>

<file path=xl/sharedStrings.xml><?xml version="1.0" encoding="utf-8"?>
<sst xmlns="http://schemas.openxmlformats.org/spreadsheetml/2006/main" count="2544" uniqueCount="793">
  <si>
    <t>Data</t>
  </si>
  <si>
    <t>Canale</t>
  </si>
  <si>
    <t>Riferimento transazione</t>
  </si>
  <si>
    <t>Numero ordine</t>
  </si>
  <si>
    <t>Importo lordo incassato EUR</t>
  </si>
  <si>
    <t>Aliquota %</t>
  </si>
  <si>
    <t>Stato aliquota</t>
  </si>
  <si>
    <t>Imponibile EUR</t>
  </si>
  <si>
    <t>IVA EUR</t>
  </si>
  <si>
    <t>2026-04-01</t>
  </si>
  <si>
    <t>Stripe</t>
  </si>
  <si>
    <t>ch_3THRDzRrkwwcYwep1cJjmadA</t>
  </si>
  <si>
    <t/>
  </si>
  <si>
    <t>determinata</t>
  </si>
  <si>
    <t>2026-04-16</t>
  </si>
  <si>
    <t>ch_3TMlfaRrkwwcYwep1rKZ3KqW</t>
  </si>
  <si>
    <t>2026-04-20</t>
  </si>
  <si>
    <t>ch_3TOEwqRrkwwcYwep09cmTfCD</t>
  </si>
  <si>
    <t>PayPal</t>
  </si>
  <si>
    <t>5VV92297N9957570R</t>
  </si>
  <si>
    <t>2026-04-27</t>
  </si>
  <si>
    <t>ch_3TQnuORrkwwcYwep1Fj1fZK8</t>
  </si>
  <si>
    <t>2026-04-28</t>
  </si>
  <si>
    <t>ch_3TR8vSRrkwwcYwep0ZWjMcZN</t>
  </si>
  <si>
    <t>2026-04-29</t>
  </si>
  <si>
    <t>ch_3TRYzSRrkwwcYwep0aI7VStR</t>
  </si>
  <si>
    <t>2026-05-03</t>
  </si>
  <si>
    <t>1T757598T7263511M</t>
  </si>
  <si>
    <t>ch_3TSzMsRrkwwcYwep1HSVzJ8A</t>
  </si>
  <si>
    <t>FT-MC-26-007</t>
  </si>
  <si>
    <t>2026-05-11</t>
  </si>
  <si>
    <t>ch_3TVvy64W4pZWhSUs0qSKhm1P</t>
  </si>
  <si>
    <t>mancante</t>
  </si>
  <si>
    <t>2026-05-16</t>
  </si>
  <si>
    <t>43H07985E69976410</t>
  </si>
  <si>
    <t>2026-05-19</t>
  </si>
  <si>
    <t>ch_3TYqjZ4W4pZWhSUs1mfz1KqI</t>
  </si>
  <si>
    <t>2026-05-20</t>
  </si>
  <si>
    <t>4PC01169U59469310</t>
  </si>
  <si>
    <t>5H283854666757739</t>
  </si>
  <si>
    <t>2026-05-23</t>
  </si>
  <si>
    <t>8JD06462TK660002D</t>
  </si>
  <si>
    <t>2026-05-25</t>
  </si>
  <si>
    <t>ch_3TaxywRrkwwcYwep09TyG2Oy</t>
  </si>
  <si>
    <t>2026-06-05</t>
  </si>
  <si>
    <t>ch_3Tf2qURrkwwcYwep1BgvrjlG</t>
  </si>
  <si>
    <t>2026-06-13</t>
  </si>
  <si>
    <t>ch_3ThmH14W4pZWhSUs1NIVn7o6</t>
  </si>
  <si>
    <t>2026-06-16</t>
  </si>
  <si>
    <t>ch_3TitsVRrkwwcYwep0pggT8DE</t>
  </si>
  <si>
    <t>2026-06-17</t>
  </si>
  <si>
    <t>4M534393CB5993543</t>
  </si>
  <si>
    <t>6TH09938PJ296300P</t>
  </si>
  <si>
    <t>2026-06-22</t>
  </si>
  <si>
    <t>ch_3Tl97E4W4pZWhSUs1iFeGfkw</t>
  </si>
  <si>
    <t>TOTALE</t>
  </si>
  <si>
    <t>Fornitore</t>
  </si>
  <si>
    <t>Partita IVA</t>
  </si>
  <si>
    <t>Tipo documento</t>
  </si>
  <si>
    <t>Numero</t>
  </si>
  <si>
    <t>Stripe Payments Europe Ltd</t>
  </si>
  <si>
    <t>IE3206488LH</t>
  </si>
  <si>
    <t>Autofattura TD17</t>
  </si>
  <si>
    <t>STRIPE-FEE-EU-2026-03</t>
  </si>
  <si>
    <t>2026-03-31</t>
  </si>
  <si>
    <t>BALLARATE PIERO SRL</t>
  </si>
  <si>
    <t>IT02238170134</t>
  </si>
  <si>
    <t>Fattura SDI / Passiva</t>
  </si>
  <si>
    <t>464</t>
  </si>
  <si>
    <t>2026-04-09</t>
  </si>
  <si>
    <t>CANNONE LUCREZIA</t>
  </si>
  <si>
    <t>IT12208220967</t>
  </si>
  <si>
    <t>4</t>
  </si>
  <si>
    <t>2026-04-22</t>
  </si>
  <si>
    <t>ARUBA SPA</t>
  </si>
  <si>
    <t>IT01573850516</t>
  </si>
  <si>
    <t>1000263003864237</t>
  </si>
  <si>
    <t>EREDI DI BENDA SERGIO SOCIETA' AGRICOLA</t>
  </si>
  <si>
    <t>IT05237210280</t>
  </si>
  <si>
    <t>32</t>
  </si>
  <si>
    <t>1000261000170337</t>
  </si>
  <si>
    <t>2026-04-30</t>
  </si>
  <si>
    <t>PayPal (Europe) S.à r.l. et Cie, S.C.A.</t>
  </si>
  <si>
    <t>LU26375245</t>
  </si>
  <si>
    <t>PP-FEE-2026-04</t>
  </si>
  <si>
    <t>STRIPE-FEE-EU-2026-04</t>
  </si>
  <si>
    <t>Cursor</t>
  </si>
  <si>
    <t>cursor-invoice-2026-05-02-in_1TSaMUB4TZWxSIGUPIU7hwfb.pdf</t>
  </si>
  <si>
    <t>2026-05-02</t>
  </si>
  <si>
    <t>570</t>
  </si>
  <si>
    <t>2026-05-05</t>
  </si>
  <si>
    <t>Anthropic, PBC</t>
  </si>
  <si>
    <t>Invoice-EFH5U5AF-0001.pdf</t>
  </si>
  <si>
    <t>2026-05-06</t>
  </si>
  <si>
    <t>CINGOLANI ANTONELLA</t>
  </si>
  <si>
    <t>IT01032230433</t>
  </si>
  <si>
    <t>27</t>
  </si>
  <si>
    <t>2026-05-26</t>
  </si>
  <si>
    <t>Stripe Payments Europe Limited</t>
  </si>
  <si>
    <t>000001-2026-EST</t>
  </si>
  <si>
    <t>2026-05-31</t>
  </si>
  <si>
    <t>PP-FEE-2026-05</t>
  </si>
  <si>
    <t>Stripe Payments Europe</t>
  </si>
  <si>
    <t>Stripe Tax Invoice 4PZWHSUS-2026-05.pdf</t>
  </si>
  <si>
    <t>STRIPE-FEE-COM-2026-05</t>
  </si>
  <si>
    <t>STRIPE-FEE-EU-2026-05</t>
  </si>
  <si>
    <t>cursor-invoice-2026-06-02-in_1Tdp9YB4TZWxSIGUM4aRclZS.pdf</t>
  </si>
  <si>
    <t>2026-06-02</t>
  </si>
  <si>
    <t>Invoice-EFH5U5AF-0002.pdf</t>
  </si>
  <si>
    <t>2026-06-06</t>
  </si>
  <si>
    <t>Apple</t>
  </si>
  <si>
    <t>I tuoi acquisti Apple3.pdf</t>
  </si>
  <si>
    <t>TORRE DOMENICA</t>
  </si>
  <si>
    <t>IT02079000838</t>
  </si>
  <si>
    <t>1</t>
  </si>
  <si>
    <t>2026-06-19</t>
  </si>
  <si>
    <t>PP-FEE-2026-06</t>
  </si>
  <si>
    <t>2026-06-30</t>
  </si>
  <si>
    <t>STRIPE-FEE-COM-2026-06</t>
  </si>
  <si>
    <t>STRIPE-FEE-EU-2026-06</t>
  </si>
  <si>
    <t>Data operazione</t>
  </si>
  <si>
    <t>Data valuta</t>
  </si>
  <si>
    <t>Descrizione bancaria ufficiale</t>
  </si>
  <si>
    <t>Entrate EUR</t>
  </si>
  <si>
    <t>Uscite EUR</t>
  </si>
  <si>
    <t>Saldo bancario EUR</t>
  </si>
  <si>
    <t>Match</t>
  </si>
  <si>
    <t>Tipo match</t>
  </si>
  <si>
    <t>Imposta di Bollo di Conto Corrente del 31.03.2026</t>
  </si>
  <si>
    <t>MATCHED</t>
  </si>
  <si>
    <t>BANK_FEE</t>
  </si>
  <si>
    <t>Beneficiario: Vidoz Alessia Iban: It49m0301503200000004684091 Data Inserimento: 01/04/2026 13:01:18 Canale: Phone/Voice P. Causale: Acquisto Fiori Cimitero Gorizia Trn: 2604013172988025480320000000it</t>
  </si>
  <si>
    <t>MANUAL_MATCH</t>
  </si>
  <si>
    <t>2026-04-02</t>
  </si>
  <si>
    <t>Ord: Stripe Ben: Floremoria S R L Dt-Ord: 02/04/2026 Banca Ord: Citibank Europe Plc Amst Info-Cli: Stripe</t>
  </si>
  <si>
    <t>UNMATCHED</t>
  </si>
  <si>
    <t>FLORIST_TRANSFER</t>
  </si>
  <si>
    <t>2026-04-04</t>
  </si>
  <si>
    <t>Beneficiario: di Paola Maria Antonietta Iban: It17h0503484190000000003633 Data Inserimento: 04/04/2026 11:13:00 Canale: Phone/Voice P. Causale: Acquisto Fiori per il Cimitero Trn: 2604043175747559480320000000it</t>
  </si>
  <si>
    <t>MANUAL_EXPENSE</t>
  </si>
  <si>
    <t>2026-04-07</t>
  </si>
  <si>
    <t>Canone Mensile Conto Marzo 2026</t>
  </si>
  <si>
    <t>Ord: Stripe Ben: Floremoria S R L Dt-Ord: 07/04/2026 Banca Ord: Citibank Europe Plc Amst Info-Cli: Stripe</t>
  </si>
  <si>
    <t>Ord: Wix.com Luxembourg Sarl Ben: Floremoria Srl Dt-Ord: 07/04/2026 Banca Ord: Adyen B.v. Info-Cli: Wix Payments</t>
  </si>
  <si>
    <t>Beneficiario: Battistella Fioreria Srl Iban: It68p0835612501000000065729 Data Inserimento: 07/04/2026 17:53:22 Canale: Phone/Voice P. Causale: Pagamento Fattura 096-2026 Trn: 2604073178717801480320000000it 001 L0001006971-P7-D42-1/4</t>
  </si>
  <si>
    <t>Ben: Carrozza Benedetta Ins: 07/04/2026 09:04:17 da: Phone/Voice P. Iban: Lt333250029927670405 Transid: 2604043175674817480320010900it Cau: Acquiso Fiori per il Cimitero di Siderno Superiore</t>
  </si>
  <si>
    <t>Beneficiario: Siae Iban: It82t0306905245100000006338 Data Inserimento: 09/04/2026 15:30:15 Canale: Internet Causale: Floremoria Srl, It 04188260139, Findit - Core Navigation Engine V.1.0 Trn: 2604093180815436480320000000it</t>
  </si>
  <si>
    <t>2026-04-13</t>
  </si>
  <si>
    <t>Paypal Europe S.a.r.l. Et Cie S.c.a Addebito Sdd Fattura a Vs Carico da Lu96zzz0000000000000000058 Mand 4da2225a55j8c per 1049497727591/Add To Balance</t>
  </si>
  <si>
    <t>SDI_INVOICE</t>
  </si>
  <si>
    <t>Ord: Paypal Europe S.a.r.l. Et Cie S.c.a Ben: Floremoria S.r.l. Dt-Ord: 13/04/2026 Banca Ord: Paypal (Europe) S.a R.l. Info-Cli: Yyw1049581756831/Paypal</t>
  </si>
  <si>
    <t>2026-04-14</t>
  </si>
  <si>
    <t>Paypal Europe S.a.r.l. Et Cie S.c.a Addebito Sdd Fattura a Vs Carico da Lu96zzz0000000000000000058 Mand 4da2225a55j8c per 1049521847390/Add To Balance</t>
  </si>
  <si>
    <t>Beneficiario: Cannone Lucrezia Iban: It96p3608105138293693593722 Data Inserimento: 16/04/2026 18:10:14 Canale: Phone/Voice P. Causale: Acquisto Fiori per il Cimitero di Rozzano Trn: 2604163187647242480320000000it</t>
  </si>
  <si>
    <t>Ord: Paypal Europe S.a.r.l. Et Cie S.c.a Ben: Floremoria S.r.l. Dt-Ord: 20/04/2026 Banca Ord: Paypal (Europe) S.a R.l. Info-Cli: Yyw1049736245691/Paypal</t>
  </si>
  <si>
    <t>Beneficiario: Provini F.lli di Provini Antonio e C. S.a.s. Iban: It63f0200848420000100195667 Data Inserimento: 20/04/2026 19:17:53 Canale: Phone/Voice P. Causale: Acquisto Fiori Funerale Trn: 2604203191569715480320000000it</t>
  </si>
  <si>
    <t>2026-04-21</t>
  </si>
  <si>
    <t>Ord: Stripe Ben: Floremoria S R L Dt-Ord: 21/04/2026 Banca Ord: Citibank Europe Plc Amst Info-Cli: Stripe</t>
  </si>
  <si>
    <t>Ben: Ditta di Bruno Anna Ins: 21/04/2026 18:11:08 da: Phone/Voice P. Iban: It83q0706618427000000137769 Transid: 2604203191526865480320010900it Cau: Acquisto Fiori Cimitero Tortora</t>
  </si>
  <si>
    <t>Ben: Davide Capitano Ins: 22/04/2026 10:24:10 da: Phone/Voice P. Iban: Ie86sumu99036510611169 Transid: 2604223192907472480320010900it Cau: Acquisto Fiori per Cimitero S.orsola Palermo</t>
  </si>
  <si>
    <t>2026-04-23</t>
  </si>
  <si>
    <t>Ord: Stripe Ben: Floremoria S R L Dt-Ord: 23/04/2026 Banca Ord: Citibank Europe Plc Amst Info-Cli: Stripe</t>
  </si>
  <si>
    <t>Ord: Paypal Europe S.a.r.l. Et Cie S.c.a Ben: Floremoria S.r.l. Dt-Ord: 27/04/2026 Banca Ord: Paypal (Europe) S.a R.l. Info-Cli: Yyw1049888097942/Paypal</t>
  </si>
  <si>
    <t>Beneficiario: Eredi di Benda Sergio Societa Agricola Iban: It57r0873260610000000768957 Data Inserimento: 28/04/2026 17:01:20 Canale: Phone/Voice P. Causale: Pagamento Fattura 32/2026 Trn: 2604283199545209480320000000it</t>
  </si>
  <si>
    <t>Paypal Europe S.a.r.l. Et Cie S.c.a Addebito Sdd Fattura a Vs Carico da Lu96zzz0000000000000000058 Mand 4da2225a55j8c per 1049890690714/Paypal</t>
  </si>
  <si>
    <t>Paypal Europe S.a.r.l. Et Cie S.c.a Addebito Sdd Fattura a Vs Carico da Lu96zzz0000000000000000058 Mand 4da2225a55j8c per 1049888340941/Paypal</t>
  </si>
  <si>
    <t>Paypal Europe S.a.r.l. Et Cie S.c.a Addebito Sdd Fattura a Vs Carico da Lu96zzz0000000000000000058 Mand 4da2225a55j8c per 1049892915249/Paypal</t>
  </si>
  <si>
    <t>Ord: Stripe Ben: Floremoria S R L Dt-Ord: 30/04/2026 Banca Ord: Citibank Europe Plc Amst Info-Cli: Stripe</t>
  </si>
  <si>
    <t>Beneficiario: la Primavera Snc di Calamunci Daniel e C. Iban: It41w0306982100100000012726 Data Inserimento: 02/05/2026 15:27:29 Canale: Phone/Voice P. Causale: Acauisto Fiori Cimitero Raccuja Trn: 2605023203725481480320000000it</t>
  </si>
  <si>
    <t>2026-05-04</t>
  </si>
  <si>
    <t>Ord: Stripe Ben: Floremoria S R L Dt-Ord: 04/05/2026 Banca Ord: Citibank Europe Plc Amst Info-Cli: Stripe</t>
  </si>
  <si>
    <t>STRIPE_PAYOUT</t>
  </si>
  <si>
    <t>Ord: Paypal Europe S.a.r.l. Et Cie S.c.a Ben: Floremoria S.r.l. Dt-Ord: 04/05/2026 Banca Ord: Paypal (Europe) S.a R.l. Info-Cli: Yyw1050057188666/Paypal</t>
  </si>
  <si>
    <t>Ben: Battistella Fioreria Srl Ins: 04/05/2026 15:33:47 da: Phone/Voice P. Iban: It68p0835612501000000065729 Transid: 2605023203728881480320010900it Cau: Pagamento Fattura 136-2026</t>
  </si>
  <si>
    <t>Canone Mensile Conto Aprile 2026</t>
  </si>
  <si>
    <t>Paypal Europe S.a.r.l. Et Cie S.c.a Addebito Sdd Fattura a Vs Carico da Lu96zzz0000000000000000058 Mand 4da2225a55j8c per 1050011422932/Add To Balance</t>
  </si>
  <si>
    <t>Ord: Stripe Ben: Floremoria S R L Dt-Ord: 05/05/2026 Banca Ord: Citibank Europe Plc Amst Info-Cli: Stripe</t>
  </si>
  <si>
    <t>Paypal Europe S.a.r.l. Et Cie S.c.a Addebito Sdd Fattura a Vs Carico da Lu96zzz0000000000000000058 Mand 4da2225a55j8c per 1050079751091/Add To Balance</t>
  </si>
  <si>
    <t>GATEWAY_PAYOUT_UNMATCHED</t>
  </si>
  <si>
    <t>2026-05-07</t>
  </si>
  <si>
    <t>Ord: Stripe Ben: Floremoria S R L Dt-Ord: 07/05/2026 Banca Ord: Citibank Europe Plc Amst Info-Cli: Stripe</t>
  </si>
  <si>
    <t>2026-05-08</t>
  </si>
  <si>
    <t>Paypal Europe S.a.r.l. Et Cie S.c.a Addebito Sdd Fattura a Vs Carico da Lu96zzz0000000000000000058 Mand 4da2225a55j8c per 1050104958724/Add To Balance</t>
  </si>
  <si>
    <t>Ord: Paypal Europe S.a.r.l. Et Cie S.c.a Ben: Floremoria S.r.l. Dt-Ord: 11/05/2026 Banca Ord: Paypal (Europe) S.a R.l. Info-Cli: Yyw1050217101223/Paypal</t>
  </si>
  <si>
    <t>2026-05-13</t>
  </si>
  <si>
    <t>Paypal Europe S.a.r.l. Et Cie S.c.a Addebito Sdd Fattura a Vs Carico da Lu96zzz0000000000000000058 Mand 4da2225a55j8c per 1050223426528/Add To Balance 001 L0001006971-P7-D42-2/4</t>
  </si>
  <si>
    <t>2026-05-18</t>
  </si>
  <si>
    <t>Ord: Paypal Europe S.a.r.l. Et Cie S.c.a Ben: Floremoria S.r.l. Dt-Ord: 18/05/2026 Banca Ord: Paypal (Europe) S.a R.l. Info-Cli: Yyw1050373730918/Paypal</t>
  </si>
  <si>
    <t>2026-05-21</t>
  </si>
  <si>
    <t>Ben: Stinga Baldassarre Ins: 21/05/2026 11:44:00 da: Phone/Voice P. Iban: It26j0310476350000000160010 Transid: 2605213222428154480320010900it Cau: Acquisto Fiori per Cimitero Praiano</t>
  </si>
  <si>
    <t>Ben: Ditta di Bruno Anna Ins: 21/05/2026 11:46:16 da: Phone/Voice P. Iban: It83q0706618427000000137769 Transid: 2605213222429526480320010900it Cau: Acquisto Fiori per Tortora</t>
  </si>
  <si>
    <t>2026-05-22</t>
  </si>
  <si>
    <t>Beneficiario: Davide Capitano Iban: Ie86sumu99036510611169 Data Inserimento: 22/05/2026 16:02:40 Canale: Phone/Voice P. Causale: Acquisto Fiori per Cimitero S.orsola Palermo Trn: 2605223224071733480320000000it</t>
  </si>
  <si>
    <t>Ord: Stripe Technology Europe Ltd Ben: Floremoria S R L Dt-Ord: 25/05/2026 Banca Ord: Banking Circle Denmark Info-Cli: Floremoria S.r.l. G0e2p3</t>
  </si>
  <si>
    <t>Paypal Europe S.a.r.l. Et Cie S.c.a Addebito Sdd Fattura a Vs Carico da Lu96zzz0000000000000000058 Mand 4da2225a55j8c per 1050486536322/Paypal</t>
  </si>
  <si>
    <t>Paypal Europe S.a.r.l. Et Cie S.c.a Addebito Sdd Fattura a Vs Carico da Lu96zzz0000000000000000058 Mand 4da2225a55j8c per 1050489385441/Add To Balance</t>
  </si>
  <si>
    <t>Beneficiario: di Paola Maria Antonietta Iban: It17h0503484190000000003633 Data Inserimento: 26/05/2026 08:22:21 Canale: Phone/Voice P. Causale: Acquisto Fiori per Cimitero San Gregorio Trn: 2605263227320356480320000000it</t>
  </si>
  <si>
    <t>Beneficiario: Antonella Cingolani Iban: It53f0331768870000020103719 Data Inserimento: 26/05/2026 16:20:24 Canale: Phone/Voice P. Causale: Acauisto Fiori Permil Cimitero di Civitanova Alta Trn: 2605263228128898480320000000it</t>
  </si>
  <si>
    <t>2026-05-28</t>
  </si>
  <si>
    <t>Ord: Stripe Technology Europe Ltd Ben: Floremoria S R L Dt-Ord: 28/05/2026 Banca Ord: Banking Circle Denmark Info-Cli: Floremoria S.r.l. Z9a5r2</t>
  </si>
  <si>
    <t>Ord: Stripe Ben: Floremoria S R L Dt-Ord: 28/05/2026 Banca Ord: Citibank Europe Plc Amst Info-Cli: Stripe</t>
  </si>
  <si>
    <t>2026-05-29</t>
  </si>
  <si>
    <t>Paypal Europe S.a.r.l. Et Cie S.c.a Addebito Sdd Fattura a Vs Carico da Lu96zzz0000000000000000058 Mand 4da2225a55j8c per 1050573166163/Add To Balance</t>
  </si>
  <si>
    <t>FOREIGN_AUTOFATTURA</t>
  </si>
  <si>
    <t>Beneficiario: Battistella Fioreria S.r.l. Iban: It68p0835612501000000065729 Data Inserimento: 31/05/2026 09:24:38 Canale: Phone/Voice P. Causale: Pagamento Fattura 183 2026 Trn: 2605313233060954480320000000it</t>
  </si>
  <si>
    <t>2026-06-01</t>
  </si>
  <si>
    <t>Ord: Paypal Europe S.a.r.l. Et Cie S.c.a Ben: Floremoria S.r.l. Dt-Ord: 01/06/2026 Banca Ord: Paypal (Europe) S.a R.l. Info-Cli: Yyw1050683793421/Paypal</t>
  </si>
  <si>
    <t>2026-06-04</t>
  </si>
  <si>
    <t>Paypal Europe S.a.r.l. Et Cie S.c.a Addebito Sdd Fattura a Vs Carico da Lu96zzz0000000000000000058 Mand 4da2225a55j8c per 1050712877397/Add To Balance</t>
  </si>
  <si>
    <t>Canone Mensile Conto Maggio 2026</t>
  </si>
  <si>
    <t>2026-06-08</t>
  </si>
  <si>
    <t>Ord: Paypal Europe S.a.r.l. Et Cie S.c.a Ben: Floremoria S.r.l. Dt-Ord: 08/06/2026 Banca Ord: Paypal (Europe) S.a R.l. Info-Cli: Yyw1050850071035/Paypal</t>
  </si>
  <si>
    <t>2026-06-09</t>
  </si>
  <si>
    <t>Paypal Europe S.a.r.l. Et Cie S.c.a Addebito Sdd Fattura a Vs Carico da Lu96zzz0000000000000000058 Mand 4da2225a55j8c per 1050808871150/Add To Balance</t>
  </si>
  <si>
    <t>2026-06-10</t>
  </si>
  <si>
    <t>Paypal Europe S.a.r.l. Et Cie S.c.a Addebito Sdd Fattura a Vs Carico da Lu96zzz0000000000000000058 Mand 4da2225a55j8c per 1050853686491/Add To Balance</t>
  </si>
  <si>
    <t>Ord: Stripe Ben: Floremoria S R L Dt-Ord: 10/06/2026 Banca Ord: Citibank Europe Plc Amst Info-Cli: Stripe</t>
  </si>
  <si>
    <t>2026-06-15</t>
  </si>
  <si>
    <t>Ord: Paypal Europe S.a.r.l. Et Cie S.c.a Ben: Floremoria S.r.l. Dt-Ord: 15/06/2026 Banca Ord: Paypal (Europe) S.a R.l. Info-Cli: Yyw1051008303805/Paypal</t>
  </si>
  <si>
    <t>Ben: Assumma Matilde Maria Ins: 15/06/2026 12:46:14 da: Phone/Voice P. Iban: It31e3608105138215574715589 Transid: 2606133246828185480320010900it Cau: Acquisto Fiori per il Cimitero di Condera</t>
  </si>
  <si>
    <t>Paypal Europe S.a.r.l. Et Cie S.c.a Addebito Sdd Fattura a Vs Carico da Lu96zzz0000000000000000058 Mand 4da2225a55j8c per 1050949185761/Add To Balance</t>
  </si>
  <si>
    <t>Beneficiario: la Primavera Snc di Calamunci Daniel e C. Iban: It41w0306982100100000012726 Data Inserimento: 16/06/2026 17:33:52 Canale: Phone/Voice P. Causale: Acquisto Fiori Cimitero Raccuja Trn: 2606163250499795480320000000it</t>
  </si>
  <si>
    <t>2026-06-18</t>
  </si>
  <si>
    <t>Ord: Stripe Technology Europe Ltd Ben: Floremoria S R L Dt-Ord: 18/06/2026 Banca Ord: Banking Circle Denmark Info-Cli: Floremoria S.r.l. D6i3p0</t>
  </si>
  <si>
    <t>Paypal Europe S.a.r.l. Et Cie S.c.a Addebito Sdd Fattura a Vs Carico da Lu96zzz0000000000000000058 Mand 4da2225a55j8c per 1051057511476/Paypal</t>
  </si>
  <si>
    <t>Ord: Stripe Ben: Floremoria S R L Dt-Ord: 19/06/2026 Banca Ord: Citibank Europe Plc Amst Info-Cli: Stripe</t>
  </si>
  <si>
    <t>Ben: Ditta di Bruno Anna Ins: 19/06/2026 16:45:15 da: Phone/Voice P. Iban: It83q0706618427000000137769 Transid: 2606183252664442480320010900it Cau: Acquisto Fiori per Tortora</t>
  </si>
  <si>
    <t>Ord: Stripe Technology Europe Ltd Ben: Floremoria S R L Dt-Ord: 22/06/2026 Banca Ord: Banking Circle Denmark Info-Cli: Floremoria S.r.l. F6g1n3</t>
  </si>
  <si>
    <t>Ord: Paypal Europe S.a.r.l. Et Cie S.c.a Ben: Floremoria S.r.l. Dt-Ord: 22/06/2026 Banca Ord: Paypal (Europe) S.a R.l. Info-Cli: Yyw1051163327352/Paypal</t>
  </si>
  <si>
    <t>Beneficiario: Bonfante Claudia Iban: It85o0503459950000000030543 Data Inserimento: 22/06/2026 17:38:20 Canale: Phone/Voice P. Causale: Acauisto Fiori per Funerale di Maria Teresa Moretto Trn: 2606223256687247480320000000it</t>
  </si>
  <si>
    <t>Ben: Davide Capitano Ins: 22/06/2026 13:07:05 da: Phone/Voice P. Iban: Ie86sumu99036510611169 Transid: 2606203254185271480320010900it Cau: Acquisto Fiori per Cimitero S.orsola Palermo</t>
  </si>
  <si>
    <t>2026-06-25</t>
  </si>
  <si>
    <t>Paypal Europe S.a.r.l. Et Cie S.c.a Addebito Sdd Fattura a Vs Carico da Lu96zzz0000000000000000058 Mand 4da2225a55j8c per 1051187105266/Paypal</t>
  </si>
  <si>
    <t>PARTIAL</t>
  </si>
  <si>
    <t>SAAS_SUBSCRIPTION</t>
  </si>
  <si>
    <t>Ord: Stripe Technology Europe Ltd Ben: Floremoria S R L Dt-Ord: 25/06/2026 Banca Ord: Banking Circle Denmark Info-Cli: Floremoria S.r.l. E3q0g3 001 L0001006971-P7-D42-4/4</t>
  </si>
  <si>
    <t>GATEWAY_PAYOUT</t>
  </si>
  <si>
    <t>File NON QUADRA — scostamento aggregato controlli falliti: € 1638,74 (dettaglio in Quadratura)</t>
  </si>
  <si>
    <t>Controlli: OK 1 · falliti 12 · non verificabili 1</t>
  </si>
  <si>
    <t>Liquidazione IVA del trimestre</t>
  </si>
  <si>
    <t>Voce</t>
  </si>
  <si>
    <t>Importo EUR</t>
  </si>
  <si>
    <t>Fonte</t>
  </si>
  <si>
    <t>Imponibile vendite (determinata + presunta)</t>
  </si>
  <si>
    <t>Corrispettivi</t>
  </si>
  <si>
    <t>IVA a debito vendite</t>
  </si>
  <si>
    <t>Imponibile acquisti</t>
  </si>
  <si>
    <t>Acquisti</t>
  </si>
  <si>
    <t>IVA a credito acquisti (documenti italiani)</t>
  </si>
  <si>
    <t>IVA reverse charge — a debito</t>
  </si>
  <si>
    <t>autofatture Acquisti</t>
  </si>
  <si>
    <t>IVA reverse charge — a credito</t>
  </si>
  <si>
    <t>stesso importo (entrambi i lati)</t>
  </si>
  <si>
    <t>IVA a debito complessiva</t>
  </si>
  <si>
    <t>vendite + reverse charge</t>
  </si>
  <si>
    <t>IVA a credito complessiva</t>
  </si>
  <si>
    <t>acquisti + reverse charge</t>
  </si>
  <si>
    <t>Saldo del trimestre (debito − credito)</t>
  </si>
  <si>
    <t>da versare se &gt; 0</t>
  </si>
  <si>
    <t>Metodo v1.24 · T2 2026</t>
  </si>
  <si>
    <t>Cosa</t>
  </si>
  <si>
    <t>Dove</t>
  </si>
  <si>
    <t>Motivo (in parole semplici)</t>
  </si>
  <si>
    <t>Cursor · cursor-invoice-2026-05-02-in_1TSaMUB4TZWxSIGUPIU7hwfb.pdf</t>
  </si>
  <si>
    <t>Acquisti (canale manuale)</t>
  </si>
  <si>
    <t>documento già acquisito da altro canale</t>
  </si>
  <si>
    <t>Anthropic, PBC · Invoice-EFH5U5AF-0001.pdf</t>
  </si>
  <si>
    <t>Stripe Payments Europe · Stripe Tax Invoice 4PZWHSUS-2026-05.pdf</t>
  </si>
  <si>
    <t>Cursor · cursor-invoice-2026-06-02-in_1Tdp9YB4TZWxSIGUM4aRclZS.pdf</t>
  </si>
  <si>
    <t>Anthropic, PBC · Invoice-EFH5U5AF-0002.pdf</t>
  </si>
  <si>
    <t>Apple · I tuoi acquisti Apple3.pdf</t>
  </si>
  <si>
    <t>VIDOZ ALESSIA · 19</t>
  </si>
  <si>
    <t>aliquota stimata (es. 10.01%) — non letta dalla fonte</t>
  </si>
  <si>
    <t>DI PAOLA MARIA ANTONIETTA · 10</t>
  </si>
  <si>
    <t>SHOPPINGARDEN DI ANNA BRUNO · 5/2026</t>
  </si>
  <si>
    <t>PROVINI F.LLI DI PROVINI ANTONIO &amp; C. S.A.S. · 2026/0/29</t>
  </si>
  <si>
    <t>Battistella Fioreria srl · 136</t>
  </si>
  <si>
    <t>STRIPE PAYMENTS EUROPE LIMITED · 000008-2026-EST</t>
  </si>
  <si>
    <t>ARUBA SPA · 1000263004039573</t>
  </si>
  <si>
    <t>CALAMUNCI TINDARO · 2026/9</t>
  </si>
  <si>
    <t>SHOPPINGARDEN DI ANNA BRUNO · 7/2026</t>
  </si>
  <si>
    <t>L'ORCHIDEA DI MANCINI FRANCESCA · 21</t>
  </si>
  <si>
    <t>DI PAOLA MARIA ANTONIETTA · 16</t>
  </si>
  <si>
    <t>Battistella Fioreria srl · 183</t>
  </si>
  <si>
    <t>FLORAGARDEN di Stinga Baldassarre · 253</t>
  </si>
  <si>
    <t>Glofu srl unipersonale · 90</t>
  </si>
  <si>
    <t>LA PRIMAVERA S.n.c. di Calamunci Daniel &amp; C. · 2026/7</t>
  </si>
  <si>
    <t>SHOPPINGARDEN DI ANNA BRUNO · 12/2026</t>
  </si>
  <si>
    <t>BONFANTE CLAUDIA · 16</t>
  </si>
  <si>
    <t>Battistella Fioreria srl · 210</t>
  </si>
  <si>
    <t>PayPal 1RM44236PH500671G · €0.53</t>
  </si>
  <si>
    <t>Corrispettivi · escluso (non vendita)</t>
  </si>
  <si>
    <t>PayPal non in report vendite (nessuno slot vendita quel giorno)</t>
  </si>
  <si>
    <t>PayPal 1LR05360L6860764S · €0.22</t>
  </si>
  <si>
    <t>PayPal 1JL35824UY976774W · €0.18</t>
  </si>
  <si>
    <t>PayPal 7VN28748BM878350S · €0.15</t>
  </si>
  <si>
    <t>PayPal 4A479765WU569534F · €0.09</t>
  </si>
  <si>
    <t>PayPal 6T004160S99663535 · €0.05</t>
  </si>
  <si>
    <t>PayPal 8BE9856555431964C · €0.02</t>
  </si>
  <si>
    <t>Stripe rimborso re_3THRDzRrkwwcYwep1WWGaOaB · €29.99</t>
  </si>
  <si>
    <t>Corrispettivi · escluso (rimborso)</t>
  </si>
  <si>
    <t>I rimborsi (re_) non sono corrispettivi: restano sulla gamba storno/rimborso, non come ricavo</t>
  </si>
  <si>
    <t>Stripe rimborso re_3TcirV4W4pZWhSUs06DSwwsn · €54.98</t>
  </si>
  <si>
    <t>Stripe ch_3TcirV4W4pZWhSUs0tgA5eN1 · €54.98</t>
  </si>
  <si>
    <t>Corrispettivi · escluso (addebito+rimborso)</t>
  </si>
  <si>
    <t>Addebito annullato da rimborso pari importo: non è una vendita (es. ordine cancellato)</t>
  </si>
  <si>
    <t>Stripe py_3TZBBT4W4pZWhSUs1wFm0e3s · €31.48</t>
  </si>
  <si>
    <t>Corrispettivi · escluso (gemella PayPal)</t>
  </si>
  <si>
    <t>Stesso giorno/importo già coperto da vendita PayPal nel report: la py_/ch_ è copia, non secondo ricavo</t>
  </si>
  <si>
    <t>Stripe py_3TZBFq4W4pZWhSUs13kgc1OA · €31.48</t>
  </si>
  <si>
    <t>Stripe py_3TaBEw4W4pZWhSUs1kKSJyM4 · €32.48</t>
  </si>
  <si>
    <t>Stripe py_3TjJBK4W4pZWhSUs1mfvQoPS · €31.48</t>
  </si>
  <si>
    <t>Stripe py_3TjJKX4W4pZWhSUs0BjNn3RV · €31.48</t>
  </si>
  <si>
    <t>Incasso senza aliquota determinabile — Stripe ch_3TVvy64W4pZWhSUs0qSKhm1P</t>
  </si>
  <si>
    <t>Incasso gateway senza ordine collegato e senza regola di presunzione applicabile.</t>
  </si>
  <si>
    <t>Incasso senza aliquota determinabile — Stripe ch_3TYqjZ4W4pZWhSUs1mfz1KqI</t>
  </si>
  <si>
    <t>Incasso senza aliquota determinabile — PayPal 4PC01169U59469310</t>
  </si>
  <si>
    <t>Incasso senza aliquota determinabile — PayPal 5H283854666757739</t>
  </si>
  <si>
    <t>Incasso senza aliquota determinabile — PayPal 8JD06462TK660002D</t>
  </si>
  <si>
    <t>Incasso senza aliquota determinabile — Stripe ch_3ThmH14W4pZWhSUs1NIVn7o6</t>
  </si>
  <si>
    <t>Incasso senza aliquota determinabile — PayPal 4M534393CB5993543</t>
  </si>
  <si>
    <t>Incasso senza aliquota determinabile — PayPal 6TH09938PJ296300P</t>
  </si>
  <si>
    <t>Incasso senza aliquota determinabile — Stripe ch_3Tl97E4W4pZWhSUs1iFeGfkw</t>
  </si>
  <si>
    <t>Annotazione ordine FT-MC-26-007</t>
  </si>
  <si>
    <t>Order · 2026-05-03</t>
  </si>
  <si>
    <t>Carnet prepagato registrato 2026-09-11: ricavo IVA intero al pagamento €284,90 (03/05/2026); pose successive esecuzione a €0 (prodotto dismesso, unico carnet residuo).</t>
  </si>
  <si>
    <t>C1 — Completezza banca</t>
  </si>
  <si>
    <t>Quadratura (controlli)</t>
  </si>
  <si>
    <t>estratto=72 · PN banca=53</t>
  </si>
  <si>
    <t>C2 — Quadratura banca</t>
  </si>
  <si>
    <t>Σ PN=363.64 · net estratto=-24.26 (E 1291.54 − U 1315.80)</t>
  </si>
  <si>
    <t>C4 — Incassi e corrispettivi</t>
  </si>
  <si>
    <t>gateway=1633.08 (Stripe charges/payments 1524.86 + PayPal) · corrispettivi report=1246.02 · nCorrispettivi=27</t>
  </si>
  <si>
    <t>C5 — Coerenza documenti</t>
  </si>
  <si>
    <t>manual=33 · saas=6 · parti=843.99 · totali=825.59</t>
  </si>
  <si>
    <t>C6 — Nessuno storno tecnico</t>
  </si>
  <si>
    <t>coppie=6 · cursor-invoice-2026-05-02-in_1tsamub4tzwxsigupiu imponibile ±17.75 (manual↔saas); cursor-invoice-2026-06-02-in_1tdp9yb4tzwxsigum4a imponibile ±17.75 (manual↔saas); stripe tax invoice 4pzwhsus-2026-05.pdf imponibile ±3.14 (manual↔saas); i tuoi acquisti apple3.pdf imponibile ±0.81 (manual↔saas); invoice-efh5u5af-0001.pdf imponibile ±18.00 (manual↔saas); invoice-efh5u5af-0002.pdf imponibile ±18.00 (manual↔saas) · negativi sistema senza coppia=0 · manual=33 · saas=6</t>
  </si>
  <si>
    <t>C7 — Identificazione fornitori</t>
  </si>
  <si>
    <t>esempi: Cursor; Cursor; Stripe Payments Europe; Apple; Anthropic, PBC…</t>
  </si>
  <si>
    <t>C8 — Mastri ammessi</t>
  </si>
  <si>
    <t>esempi: Altri ricavi e proventi→Altri ricavi e proventi</t>
  </si>
  <si>
    <t>C9 — Partite di giro</t>
  </si>
  <si>
    <t>righe ledger T2 ispezionate=282</t>
  </si>
  <si>
    <t>C10 — Doppia gamba transito</t>
  </si>
  <si>
    <t>STRIPE:KO · PAYPAL:OK</t>
  </si>
  <si>
    <t>C11 — Coerenza di perimetro</t>
  </si>
  <si>
    <t>n canali: Corrispettivi=48 · Ledger ricavi=27 · taxRegister=78 · taxQuarterly=78 · cfoTools=78 · divergenti=54 · FT-SA-26-001[+ledger/taxRegister/taxQuarterly/cfoTools/−corrispettivi]; FT-PA-26-003[+taxRegister/taxQuarterly/cfoTools/−corrispettivi/ledger]; FT-CS-26-001[+taxRegister/taxQuarterly/cfoTools/−corrispettivi/ledger]; FT-CO-26-004[+taxRegister/taxQuarterly/cfoTools/−corrispettivi/ledger]; FT-RC-26-001[+taxRegister/taxQuarterly/cfoTools/−corrispettivi/ledger]; FT-CS-26-002[+taxRegister/taxQuarterly/cfoTools/−corrispettivi/ledger]; FT-PA-26-004[+taxRegister/taxQuarterly/cfoTools/−corrispettivi/ledger]; FF-VR-26-001[+taxRegister/taxQuarterly/cfoTools/−corrispettivi/ledger]; FF-PD-26-002[+taxRegister/taxQuarterly/cfoTools/−corrispettivi/ledger]; FF-PD-26-003[+taxRegister/taxQuarterly/cfoTools/−corrispettivi/ledger]; FF-PA-26-001[+taxRegister/taxQuarterly/cfoTools/−corrispettivi/ledger]; FT-PA-26-005[+taxRegister/taxQuarterly/cfoTools/−corrispettivi/ledger]</t>
  </si>
  <si>
    <t>C12 — Data ordine = data incasso</t>
  </si>
  <si>
    <t>universo corrispettivi=48 · verificati=45 · esclusi_non_risolvibili=3 (FF-VE-26-001, FT-CA-26-001, FF-PN-26-005) · tolleranza fuso=24h · divergenze=2 · cmtvn3fp ordine=2026-03-22 incasso=2026-03-24 (Δ48h); cmtvn3fy ordine=2026-03-24 incasso=2026-03-22 (Δ48h)</t>
  </si>
  <si>
    <t>C13 — Saldo di transito / conto pagamento</t>
  </si>
  <si>
    <t>STRIPE(transito vendite): ledger=-391.02 · dich.=100.00 · Δ=-491.02 · PAYPAL(conto pagamento): ledger=354.36 · dich.=0.00 · Δ=354.36</t>
  </si>
  <si>
    <t>Descrizione / Causale Economica</t>
  </si>
  <si>
    <t>Controparte / Fornitore Reale</t>
  </si>
  <si>
    <t>Dare/Avere (Importo EUR)</t>
  </si>
  <si>
    <t>Canale / Conto</t>
  </si>
  <si>
    <t>Mastro Contabile</t>
  </si>
  <si>
    <t>Riferimento Fiscale</t>
  </si>
  <si>
    <t>Saldo Progressivo</t>
  </si>
  <si>
    <t>Fineco</t>
  </si>
  <si>
    <t>Oneri bancari</t>
  </si>
  <si>
    <t>fineco_fee_2026-04-01_2908</t>
  </si>
  <si>
    <t>Partita di giro (gateway → Fineco)</t>
  </si>
  <si>
    <t>cmt1vc6uj0003ky049mzu1ktb</t>
  </si>
  <si>
    <t>[RV_NOISE_CLEANUP_20260911] Beneficiario: Battistella Fioreria Srl Iban: It68p0835612501000000065729 Data Inserimento: 07/04/2026 17:53:22 Canale: Phone/Voice P. Causale: Pagamento Fattura 096-2026 Trn: 2604073178717801480320000000it 001 L0001006971-P7-D42-1/4</t>
  </si>
  <si>
    <t>Costi del venduto / Fioristi</t>
  </si>
  <si>
    <t>cmt1vc6uj0008ky04bthfr4ua</t>
  </si>
  <si>
    <t>Altri ricavi e proventi</t>
  </si>
  <si>
    <t>cmt1vc6uj0007ky04spv5jwp7</t>
  </si>
  <si>
    <t>cmt1vc6uj0006ky04822ckao0</t>
  </si>
  <si>
    <t>cmt1vc6uj000aky04vr0ckvyw</t>
  </si>
  <si>
    <t>cmt1vc6uj000cky04qxo7463t</t>
  </si>
  <si>
    <t>[PAYPAL_SDD_INBOUND_20260911 SDD funding Fineco→PayPal] Paypal Europe S.a.r.l. Et Cie S.c.a Addebito Sdd Fattura a Vs Carico da Lu96zzz0000000000000000058 Mand 4da2225a55j8c per 1049521847390/Add To Balance</t>
  </si>
  <si>
    <t>cmt1wo3m2000ijo04ipdokwrd</t>
  </si>
  <si>
    <t>Spese operative</t>
  </si>
  <si>
    <t>cmt1v881c0008jr04wsh1ztyg</t>
  </si>
  <si>
    <t>cmt1vc6uj000fky04qfw1q23z</t>
  </si>
  <si>
    <t>cmt1vc6uj000hky04cvq0s6v2</t>
  </si>
  <si>
    <t>cmt1vc6uj000kky044oz1a793</t>
  </si>
  <si>
    <t>cmt1vc6uj000lky04v1qtdqah</t>
  </si>
  <si>
    <t>cmt1v869r0002jr04lmzfgwyo</t>
  </si>
  <si>
    <t>Aruba Spa · Addebito Fineco via PayPal</t>
  </si>
  <si>
    <t>Aruba Spa</t>
  </si>
  <si>
    <t>cmt1v8chw000ojr04z653ld75</t>
  </si>
  <si>
    <t>cmt1v8adn000gjr04wnoyfgpi</t>
  </si>
  <si>
    <t>cmt1v8bm9000kjr04mrdx5bsz</t>
  </si>
  <si>
    <t>cmt1vc6uj000qky04mnl1yvyo</t>
  </si>
  <si>
    <t>cmt1vc6uk000tky04za0c04kz</t>
  </si>
  <si>
    <t>cmt1vc6uj000sky04wsqt2cza</t>
  </si>
  <si>
    <t>cmt1vc6uk000xky04d0h8h7pw</t>
  </si>
  <si>
    <t>[PAYPAL_SDD_INBOUND_20260911 SDD funding Fineco→PayPal] Paypal Europe S.a.r.l. Et Cie S.c.a Addebito Sdd Fattura a Vs Carico da Lu96zzz0000000000000000058 Mand 4da2225a55j8c per 1050079751091/Add To Balance</t>
  </si>
  <si>
    <t>cmt1vc6uk000yky04qc8gtk1b</t>
  </si>
  <si>
    <t>cmt1vc6uk000zky04prrr20cf</t>
  </si>
  <si>
    <t>cmt1vc6uk0011ky04rpvsjy8i</t>
  </si>
  <si>
    <t>cmt1vc6uk0013ky04sd9vns1k</t>
  </si>
  <si>
    <t>txn_1Talxg4W4pZWhSUsM3SdT4Rr</t>
  </si>
  <si>
    <t>Google Payment Ireland Limited · Addebito Fineco via PayPal</t>
  </si>
  <si>
    <t>Google Payment Ireland Limited</t>
  </si>
  <si>
    <t>cmt1vc6uk0018ky04xjjcuxw8</t>
  </si>
  <si>
    <t>[PAYPAL_SDD_INBOUND_20260911 SDD funding Fineco→PayPal] Paypal Europe S.a.r.l. Et Cie S.c.a Addebito Sdd Fattura a Vs Carico da Lu96zzz0000000000000000058 Mand 4da2225a55j8c per 1050489385441/Add To Balance</t>
  </si>
  <si>
    <t>cmt1v875p0005jr04h0m9138h</t>
  </si>
  <si>
    <t>cmt1v86kb0003jr04vbhiohby</t>
  </si>
  <si>
    <t>cmt1vc6uk001bky04y0qwpejc</t>
  </si>
  <si>
    <t>txn_1TbsDK4W4pZWhSUs8ahBjb4D</t>
  </si>
  <si>
    <t>cmt1vc6uk001dky041w3g7dsl</t>
  </si>
  <si>
    <t>[PAYPAL_SDD_INBOUND_20260911 SDD funding Fineco→PayPal] [RV_NOISE_CLEANUP_20260911] Paypal Europe S.a.r.l. Et Cie S.c.a Addebito Sdd Fattura a Vs Carico da Lu96zzz0000000000000000058 Mand 4da2225a55j8c per 1050573166163/Add To Balance</t>
  </si>
  <si>
    <t>cmt2qaxdf0000kw04g78v1vof</t>
  </si>
  <si>
    <t>[RV_NOISE_CLEANUP_20260911] Beneficiario: Battistella Fioreria S.r.l. Iban: It68p0835612501000000065729 Data Inserimento: 31/05/2026 09:24:38 Canale: Phone/Voice P. Causale: Pagamento Fattura 183 2026 Trn: 2605313233060954480320000000it</t>
  </si>
  <si>
    <t>cmt1v88me000ajr041a9cfyik</t>
  </si>
  <si>
    <t>cmt1vc6uk001gky04nbwo9leg</t>
  </si>
  <si>
    <t>fineco_fee_2026-06-05_1595</t>
  </si>
  <si>
    <t>cmt1vc6uk001jky0430j1fuys</t>
  </si>
  <si>
    <t>[PAYPAL_SDD_INBOUND_20260911 SDD funding Fineco→PayPal] [RV_NOISE_CLEANUP_20260911] Paypal Europe S.a.r.l. Et Cie S.c.a Addebito Sdd Fattura a Vs Carico da Lu96zzz0000000000000000058 Mand 4da2225a55j8c per 1050853686491/Add To Balance</t>
  </si>
  <si>
    <t>cmt1wo2fs000fjo04w1qfc8sn</t>
  </si>
  <si>
    <t>cmt1vc6ul001mky04fje9w4n7</t>
  </si>
  <si>
    <t>cmt1vc6ul001oky046th1tvar</t>
  </si>
  <si>
    <t>cmt1vc6ul001nky045w6871oj</t>
  </si>
  <si>
    <t>cmt1wo19p000djo04esjn9cvv</t>
  </si>
  <si>
    <t>[PAYPAL_SDD_INBOUND_20260911 SDD funding Fineco→PayPal] Paypal Europe S.a.r.l. Et Cie S.c.a Addebito Sdd Fattura a Vs Carico da Lu96zzz0000000000000000058 Mand 4da2225a55j8c per 1050949185761/Add To Balance</t>
  </si>
  <si>
    <t>cmt1wo256000ejo043r4kag33</t>
  </si>
  <si>
    <t>txn_1TjTO64W4pZWhSUs9C6IQJsK</t>
  </si>
  <si>
    <t>Apple Services · Addebito Fineco via PayPal</t>
  </si>
  <si>
    <t>Apple Services</t>
  </si>
  <si>
    <t>cmt1vc6ul001sky04dpfu23oe</t>
  </si>
  <si>
    <t>cmt1wnxod0006jo04hh73o5h5</t>
  </si>
  <si>
    <t>cmt1vc6ul001tky0445bm7ipz</t>
  </si>
  <si>
    <t>cmt1vc6ul001yky04opr3g29z</t>
  </si>
  <si>
    <t>txn_1TkvQf4W4pZWhSUsEP6tFfQP</t>
  </si>
  <si>
    <t>cmt1vc6ul001wky04p5za97zb</t>
  </si>
  <si>
    <t>cmt1v88wx000bjr04vm085ocw</t>
  </si>
  <si>
    <t>txn_1Tm0qh4W4pZWhSUs5YoyXsSa</t>
  </si>
  <si>
    <t>[PAYPAL_SDD_INBOUND_20260911 SDD funding Fineco→PayPal] [RV_NOISE_CLEANUP_20260911] Paypal Europe S.a.r.l. Et Cie S.c.a Addebito Sdd Fattura a Vs Carico da Lu96zzz0000000000000000058 Mand 4da2225a55j8c per 1051187105266/Paypal</t>
  </si>
  <si>
    <t>cmt1vc6ul001zky04onk2kj7n</t>
  </si>
  <si>
    <t>TOTALE MOVIMENTI</t>
  </si>
  <si>
    <t>Totale Entrate € 1291.54 · Totale Uscite € 927.90 · Periodo T2 2026</t>
  </si>
  <si>
    <t>ID Transazione Stripe</t>
  </si>
  <si>
    <t>Ordine FloreMoria</t>
  </si>
  <si>
    <t>Importo Lordo Cliente EUR</t>
  </si>
  <si>
    <t>Commissione Trattenuta (Fee) EUR</t>
  </si>
  <si>
    <t>Importo Netto EUR</t>
  </si>
  <si>
    <t>Payout verso Fineco (ID / Data)</t>
  </si>
  <si>
    <t>Tipo</t>
  </si>
  <si>
    <t>stripe_eu_tx_txn_3THRDzRrkwwcYwep1IWuTvYj</t>
  </si>
  <si>
    <t>cmtvn3gt0001x6dtpo1re6xvw</t>
  </si>
  <si>
    <t>charge</t>
  </si>
  <si>
    <t>stripe_eu_tx_txn_1THRE5RrkwwcYwepdoRXQiAO</t>
  </si>
  <si>
    <t>contribution</t>
  </si>
  <si>
    <t>stripe_eu_tx_po_1THZBHRrkwwcYwepmcvirfFj</t>
  </si>
  <si>
    <t>stripe_eu_tx_po_1THZBHRrkwwcYwepmcvirfFj / 2026-04-02</t>
  </si>
  <si>
    <t>payout</t>
  </si>
  <si>
    <t>stripe_eu_tx_txn_1THZBHRrkwwcYwept9slHFs8</t>
  </si>
  <si>
    <t>stripe_eu_tx_txn_1THZBHRrkwwcYwept9slHFs8 / 2026-04-02</t>
  </si>
  <si>
    <t>stripe_eu_tx_txn_3THRDzRrkwwcYwep1VFhNywK</t>
  </si>
  <si>
    <t>refund</t>
  </si>
  <si>
    <t>stripe_eu_tx_po_1TJNEORrkwwcYwepQyjbvpKO</t>
  </si>
  <si>
    <t>stripe_eu_tx_po_1TJNEORrkwwcYwepQyjbvpKO / 2026-04-07</t>
  </si>
  <si>
    <t>stripe_eu_tx_txn_1TJNEORrkwwcYwepYf0TQPJ2</t>
  </si>
  <si>
    <t>stripe_eu_tx_txn_1TJNEORrkwwcYwepYf0TQPJ2 / 2026-04-07</t>
  </si>
  <si>
    <t>stripe_eu_tx_txn_3TMlfaRrkwwcYwep1OK1tykj</t>
  </si>
  <si>
    <t>cmtvn3h3600206dtpq45sx0r9</t>
  </si>
  <si>
    <t>stripe_eu_tx_txn_1TMlfhRrkwwcYwepj4J4NWrv</t>
  </si>
  <si>
    <t>stripe_eu_tx_txn_3TOEwqRrkwwcYwep0PWa3mde</t>
  </si>
  <si>
    <t>cmtvn3hf800236dtp5jqlz5oa</t>
  </si>
  <si>
    <t>stripe_eu_tx_txn_1TOEwwRrkwwcYwepW8VqWcJu</t>
  </si>
  <si>
    <t>stripe_eu_tx_txn_3TOFWURrkwwcYwep1T5ie17D</t>
  </si>
  <si>
    <t>payment</t>
  </si>
  <si>
    <t>stripe_eu_tx_txn_1TOSH7RrkwwcYwepKSf8T5hk</t>
  </si>
  <si>
    <t>stripe_eu_tx_po_1TOSH7RrkwwcYwep9gkxsA8o / 2026-04-21</t>
  </si>
  <si>
    <t>stripe_eu_tx_po_1TOSH7RrkwwcYwep9gkxsA8o</t>
  </si>
  <si>
    <t>stripe_eu_tx_po_1TPB2JRrkwwcYwep4fv1hM3m</t>
  </si>
  <si>
    <t>stripe_eu_tx_po_1TPB2JRrkwwcYwep4fv1hM3m / 2026-04-23</t>
  </si>
  <si>
    <t>stripe_eu_tx_txn_1TPB2JRrkwwcYwepnkrCXsYP</t>
  </si>
  <si>
    <t>stripe_eu_tx_txn_1TPB2JRrkwwcYwepnkrCXsYP / 2026-04-23</t>
  </si>
  <si>
    <t>stripe_eu_tx_txn_3TQnuORrkwwcYwep1Dfft678</t>
  </si>
  <si>
    <t>cmtvn3i0h002a6dtp8yqgzrjc</t>
  </si>
  <si>
    <t>stripe_eu_tx_txn_1TQnuSRrkwwcYwepnuox7Id9</t>
  </si>
  <si>
    <t>stripe_eu_tx_txn_3TR8vSRrkwwcYwep0aagA2z5</t>
  </si>
  <si>
    <t>cmtvn3i9w002d6dtpxyxxyd7j</t>
  </si>
  <si>
    <t>stripe_eu_tx_txn_1TR8vYRrkwwcYwepSX2F2Q1D</t>
  </si>
  <si>
    <t>stripe_eu_tx_txn_3TRYzSRrkwwcYwep0XTghGkM</t>
  </si>
  <si>
    <t>cmtvn3ilg002h6dtp5d5qc4k2</t>
  </si>
  <si>
    <t>stripe_eu_tx_txn_1TRZ06RrkwwcYwepdftiAkTO</t>
  </si>
  <si>
    <t>stripe_eu_tx_txn_1TRiQ1RrkwwcYwepF4vz2uJu</t>
  </si>
  <si>
    <t>stripe_eu_tx_po_1TRiQ1RrkwwcYwepbV8qdLoY / 2026-04-30</t>
  </si>
  <si>
    <t>stripe_eu_tx_po_1TRiQ1RrkwwcYwepbV8qdLoY</t>
  </si>
  <si>
    <t>stripe_eu_tx_txn_3TSzMsRrkwwcYwep11EAvI3P</t>
  </si>
  <si>
    <t>stripe_eu_tx_txn_1TSzPSRrkwwcYwepMMBPN6Ow</t>
  </si>
  <si>
    <t>stripe_eu_tx_txn_3TT0p4RrkwwcYwep1MNarUZe</t>
  </si>
  <si>
    <t>stripe_eu_tx_txn_1TT9y1RrkwwcYweplHFp7MF2</t>
  </si>
  <si>
    <t>stripe_eu_tx_po_1TT9y1RrkwwcYwepGzjrFIdU / 2026-05-04</t>
  </si>
  <si>
    <t>stripe_eu_tx_po_1TT9y1RrkwwcYwepGzjrFIdU</t>
  </si>
  <si>
    <t>stripe_eu_tx_po_1TTWeyRrkwwcYwepAFPG1e0z</t>
  </si>
  <si>
    <t>stripe_eu_tx_po_1TTWeyRrkwwcYwepAFPG1e0z / 2026-05-05</t>
  </si>
  <si>
    <t>stripe_eu_tx_txn_1TTWeyRrkwwcYwepb6BnIAfh</t>
  </si>
  <si>
    <t>stripe_eu_tx_txn_1TTWeyRrkwwcYwepb6BnIAfh / 2026-05-05</t>
  </si>
  <si>
    <t>stripe_eu_tx_txn_1TUFpWRrkwwcYwepOlzpA2si</t>
  </si>
  <si>
    <t>stripe_eu_tx_po_1TUFpVRrkwwcYwepdieDSIqT / 2026-05-07</t>
  </si>
  <si>
    <t>stripe_eu_tx_po_1TUFpVRrkwwcYwepdieDSIqT</t>
  </si>
  <si>
    <t>stripe_tx_txn_3TVvy64W4pZWhSUs0pnQ5h0r</t>
  </si>
  <si>
    <t>txn_3TVvy64W4pZWhSUs0pnQ5h0r</t>
  </si>
  <si>
    <t>stripe_eu_tx_txn_3TXhANRrkwwcYwep0VwwAbM9</t>
  </si>
  <si>
    <t>txn_1TYEgl4W4pZWhSUsZCSxVSQs</t>
  </si>
  <si>
    <t>stripe_tx_po_1TYEgm4W4pZWhSUs4QXBpUkB / 2026-05-18</t>
  </si>
  <si>
    <t>payout_minimum_balance_hold</t>
  </si>
  <si>
    <t>stripe_tx_txn_1TYEgl4W4pZWhSUsZCSxVSQs</t>
  </si>
  <si>
    <t>stripe_tx_txn_1TYEgl4W4pZWhSUsewIaONMk</t>
  </si>
  <si>
    <t>payout_minimum_balance_release</t>
  </si>
  <si>
    <t>txn_1TYEgl4W4pZWhSUsewIaONMk</t>
  </si>
  <si>
    <t>txn_1TYEgm4W4pZWhSUs3Cvy8m1s</t>
  </si>
  <si>
    <t>po_1TYEgm4W4pZWhSUs4QXBpUkB</t>
  </si>
  <si>
    <t>po_1TYEgm4W4pZWhSUs4QXBpUkB / 2026-05-18</t>
  </si>
  <si>
    <t>stripe_tx_txn_1TYEgm4W4pZWhSUs3Cvy8m1s</t>
  </si>
  <si>
    <t>stripe_tx_po_1TYEgm4W4pZWhSUs4QXBpUkB</t>
  </si>
  <si>
    <t>txn_3TYqjZ4W4pZWhSUs1SlZrQ1q</t>
  </si>
  <si>
    <t>stripe_tx_txn_3TYqjZ4W4pZWhSUs1SlZrQ1q</t>
  </si>
  <si>
    <t>txn_3TZBBT4W4pZWhSUs19WmIUfU</t>
  </si>
  <si>
    <t>stripe_tx_txn_3TZBBT4W4pZWhSUs19WmIUfU</t>
  </si>
  <si>
    <t>txn_3TZBFq4W4pZWhSUs1kRE0CNZ</t>
  </si>
  <si>
    <t>stripe_tx_txn_3TZBFq4W4pZWhSUs1kRE0CNZ</t>
  </si>
  <si>
    <t>txn_1TZhK54W4pZWhSUswXK7Zizl</t>
  </si>
  <si>
    <t>stripe_tx_po_1TZhK64W4pZWhSUs0dN8Whed / 2026-05-22</t>
  </si>
  <si>
    <t>stripe_tx_txn_1TZhK54W4pZWhSUswXK7Zizl</t>
  </si>
  <si>
    <t>txn_1TZhK54W4pZWhSUs7uhSonc3</t>
  </si>
  <si>
    <t>stripe_tx_txn_1TZhK54W4pZWhSUs7uhSonc3</t>
  </si>
  <si>
    <t>txn_1TZhK64W4pZWhSUsZoM38QTM</t>
  </si>
  <si>
    <t>stripe_tx_txn_1TZhK64W4pZWhSUsZoM38QTM</t>
  </si>
  <si>
    <t>po_1TZhK64W4pZWhSUs0dN8Whed</t>
  </si>
  <si>
    <t>po_1TZhK64W4pZWhSUs0dN8Whed / 2026-05-22</t>
  </si>
  <si>
    <t>stripe_tx_po_1TZhK64W4pZWhSUs0dN8Whed</t>
  </si>
  <si>
    <t>txn_3TaBEw4W4pZWhSUs12Q2pKyE</t>
  </si>
  <si>
    <t>stripe_tx_txn_3TaBEw4W4pZWhSUs12Q2pKyE</t>
  </si>
  <si>
    <t>stripe_tx_txn_1Talxe4W4pZWhSUsjoRqC1gE</t>
  </si>
  <si>
    <t>stripe_tx_po_1Talxf4W4pZWhSUseIgjY0ab / 2026-05-25</t>
  </si>
  <si>
    <t>txn_1Talxe4W4pZWhSUsjoRqC1gE</t>
  </si>
  <si>
    <t>txn_1Talxe4W4pZWhSUsDXLxAXSZ</t>
  </si>
  <si>
    <t>stripe_tx_txn_1Talxe4W4pZWhSUsDXLxAXSZ</t>
  </si>
  <si>
    <t>po_1Talxf4W4pZWhSUseIgjY0ab</t>
  </si>
  <si>
    <t>po_1Talxf4W4pZWhSUseIgjY0ab / 2026-05-25</t>
  </si>
  <si>
    <t>stripe_tx_txn_1Talxg4W4pZWhSUsM3SdT4Rr</t>
  </si>
  <si>
    <t>stripe_tx_po_1Talxf4W4pZWhSUseIgjY0ab</t>
  </si>
  <si>
    <t>stripe_eu_tx_txn_3TaxywRrkwwcYwep0nknWw0e</t>
  </si>
  <si>
    <t>cmtvn3jbi002t6dtpy4ufw1p6</t>
  </si>
  <si>
    <t>stripe_eu_tx_txn_1Taxz2RrkwwcYwep07SvxrTE</t>
  </si>
  <si>
    <t>2026-05-27</t>
  </si>
  <si>
    <t>stripe_eu_tx_txn_1TbVUrRrkwwcYwep2Wm1XSWh</t>
  </si>
  <si>
    <t>stripe_fee</t>
  </si>
  <si>
    <t>stripe_eu_tx_txn_1TbryNRrkwwcYwept7jxQIII</t>
  </si>
  <si>
    <t>po_1TbsDK4W4pZWhSUsHr2btVRJ / 2026-05-28</t>
  </si>
  <si>
    <t>stripe_eu_tx_po_1TbryNRrkwwcYwepAHfw64C5</t>
  </si>
  <si>
    <t>stripe_eu_tx_po_1TbryNRrkwwcYwepAHfw64C5 / 2026-05-28</t>
  </si>
  <si>
    <t>stripe_tx_txn_1TbsDJ4W4pZWhSUsUKK2s1Rl</t>
  </si>
  <si>
    <t>txn_1TbsDJ4W4pZWhSUsUKK2s1Rl</t>
  </si>
  <si>
    <t>stripe_tx_txn_1TbsDJ4W4pZWhSUshFDEzZuP</t>
  </si>
  <si>
    <t>txn_1TbsDJ4W4pZWhSUshFDEzZuP</t>
  </si>
  <si>
    <t>stripe_tx_txn_1TbsDK4W4pZWhSUs8ahBjb4D</t>
  </si>
  <si>
    <t>stripe_tx_po_1TbsDK4W4pZWhSUsHr2btVRJ</t>
  </si>
  <si>
    <t>stripe_tx_po_1TbsDK4W4pZWhSUsHr2btVRJ / 2026-05-28</t>
  </si>
  <si>
    <t>po_1TbsDK4W4pZWhSUsHr2btVRJ</t>
  </si>
  <si>
    <t>2026-05-30</t>
  </si>
  <si>
    <t>stripe_tx_txn_3TcirV4W4pZWhSUs05MMgxPE</t>
  </si>
  <si>
    <t>txn_3TcirV4W4pZWhSUs05MMgxPE</t>
  </si>
  <si>
    <t>txn_3TcirV4W4pZWhSUs00pnO7he</t>
  </si>
  <si>
    <t>stripe_tx_txn_3TcirV4W4pZWhSUs00pnO7he</t>
  </si>
  <si>
    <t>txn_1TeOlg4W4pZWhSUsyPyr4B1q</t>
  </si>
  <si>
    <t>stripe_tx_txn_1TeOlg4W4pZWhSUs7MVUic71 / 2026-06-04</t>
  </si>
  <si>
    <t>stripe_tx_txn_1TeOlh4W4pZWhSUsNVFwOLsT</t>
  </si>
  <si>
    <t>stripe_tx_po_1TeOlg4W4pZWhSUscFSYuT04</t>
  </si>
  <si>
    <t>stripe_tx_po_1TeOlg4W4pZWhSUscFSYuT04 / 2026-06-04</t>
  </si>
  <si>
    <t>txn_1TeOlh4W4pZWhSUsNVFwOLsT</t>
  </si>
  <si>
    <t>po_1TeOlg4W4pZWhSUscFSYuT04</t>
  </si>
  <si>
    <t>po_1TeOlg4W4pZWhSUscFSYuT04 / 2026-06-04</t>
  </si>
  <si>
    <t>txn_1TeOlg4W4pZWhSUs7MVUic71</t>
  </si>
  <si>
    <t>stripe_tx_txn_1TeOlg4W4pZWhSUsyPyr4B1q</t>
  </si>
  <si>
    <t>stripe_tx_txn_1TeOlg4W4pZWhSUs7MVUic71</t>
  </si>
  <si>
    <t>stripe_eu_tx_txn_3Tf2qURrkwwcYwep1JTdxIH6</t>
  </si>
  <si>
    <t>cmtvn3joi002x6dtpj9ojmipb</t>
  </si>
  <si>
    <t>stripe_eu_tx_txn_1Tf2qaRrkwwcYwep7yjFPE3w</t>
  </si>
  <si>
    <t>2026-06-07</t>
  </si>
  <si>
    <t>stripe_eu_tx_txn_1TfUl4RrkwwcYwepudxKe63Y</t>
  </si>
  <si>
    <t>stripe_eu_tx_txn_1TgZgbRrkwwcYwephSiOj55f</t>
  </si>
  <si>
    <t>stripe_eu_tx_po_1TgZgbRrkwwcYwep9WTER9qo / 2026-06-10</t>
  </si>
  <si>
    <t>stripe_eu_tx_po_1TgZgbRrkwwcYwep9WTER9qo</t>
  </si>
  <si>
    <t>stripe_tx_txn_3ThmH14W4pZWhSUs14CAHHaS</t>
  </si>
  <si>
    <t>txn_3ThmH14W4pZWhSUs14CAHHaS</t>
  </si>
  <si>
    <t>stripe_eu_tx_txn_3TitsVRrkwwcYwep03OyeUT2</t>
  </si>
  <si>
    <t>cmtvn3kg100306dtpd22i2jyd</t>
  </si>
  <si>
    <t>stripe_eu_tx_txn_1TitsaRrkwwcYwepcNc62lHj</t>
  </si>
  <si>
    <t>txn_3TjJBK4W4pZWhSUs1SYv8DdG</t>
  </si>
  <si>
    <t>stripe_tx_txn_3TjJBK4W4pZWhSUs1SYv8DdG</t>
  </si>
  <si>
    <t>stripe_tx_txn_3TjJKX4W4pZWhSUs0oQvh7vx</t>
  </si>
  <si>
    <t>txn_3TjJKX4W4pZWhSUs0oQvh7vx</t>
  </si>
  <si>
    <t>txn_1TjTO34W4pZWhSUsrEqhPUd5</t>
  </si>
  <si>
    <t>po_1TjTO44W4pZWhSUsQSoOcpSY / 2026-06-18</t>
  </si>
  <si>
    <t>stripe_tx_txn_1TjTO34W4pZWhSUsrEqhPUd5</t>
  </si>
  <si>
    <t>txn_1TjTO34W4pZWhSUsAXYzqGqf</t>
  </si>
  <si>
    <t>stripe_tx_txn_1TjTO34W4pZWhSUsAXYzqGqf</t>
  </si>
  <si>
    <t>stripe_tx_txn_1TjTO64W4pZWhSUs9C6IQJsK</t>
  </si>
  <si>
    <t>stripe_tx_po_1TjTO44W4pZWhSUsQSoOcpSY</t>
  </si>
  <si>
    <t>stripe_tx_po_1TjTO44W4pZWhSUsQSoOcpSY / 2026-06-18</t>
  </si>
  <si>
    <t>po_1TjTO44W4pZWhSUsQSoOcpSY</t>
  </si>
  <si>
    <t>stripe_eu_tx_txn_1TjUc3RrkwwcYwepMwOPSs1L</t>
  </si>
  <si>
    <t>stripe_eu_tx_txn_1TjpuKRrkwwcYwepWbSGY8AD</t>
  </si>
  <si>
    <t>stripe_eu_tx_po_1TjpuKRrkwwcYwepqWFBq66Z / 2026-06-19</t>
  </si>
  <si>
    <t>stripe_eu_tx_po_1TjpuKRrkwwcYwepqWFBq66Z</t>
  </si>
  <si>
    <t>stripe_tx_txn_1TkvQe4W4pZWhSUswcDvzhLK</t>
  </si>
  <si>
    <t>stripe_tx_txn_1TkvQf4W4pZWhSUsEP6tFfQP / 2026-06-22</t>
  </si>
  <si>
    <t>txn_1TkvQe4W4pZWhSUsm7PWkAeo</t>
  </si>
  <si>
    <t>stripe_tx_txn_1TkvQe4W4pZWhSUsm7PWkAeo</t>
  </si>
  <si>
    <t>txn_1TkvQe4W4pZWhSUswcDvzhLK</t>
  </si>
  <si>
    <t>stripe_tx_po_1TkvQf4W4pZWhSUsCT99Zvo7</t>
  </si>
  <si>
    <t>stripe_tx_po_1TkvQf4W4pZWhSUsCT99Zvo7 / 2026-06-22</t>
  </si>
  <si>
    <t>po_1TkvQf4W4pZWhSUsCT99Zvo7</t>
  </si>
  <si>
    <t>po_1TkvQf4W4pZWhSUsCT99Zvo7 / 2026-06-22</t>
  </si>
  <si>
    <t>stripe_tx_txn_1TkvQf4W4pZWhSUsEP6tFfQP</t>
  </si>
  <si>
    <t>stripe_tx_txn_3Tl97E4W4pZWhSUs1948B9mT</t>
  </si>
  <si>
    <t>txn_3Tl97E4W4pZWhSUs1948B9mT</t>
  </si>
  <si>
    <t>stripe_tx_txn_1Tm0qh4W4pZWhSUs5YoyXsSa</t>
  </si>
  <si>
    <t>stripe_tx_txn_1Tm0qg4W4pZWhSUsT6lxQpN3 / 2026-06-25</t>
  </si>
  <si>
    <t>txn_1Tm0qg4W4pZWhSUsviCFaEHr</t>
  </si>
  <si>
    <t>stripe_tx_po_1Tm0qg4W4pZWhSUsQHVeQeRf</t>
  </si>
  <si>
    <t>stripe_tx_po_1Tm0qg4W4pZWhSUsQHVeQeRf / 2026-06-25</t>
  </si>
  <si>
    <t>po_1Tm0qg4W4pZWhSUsQHVeQeRf</t>
  </si>
  <si>
    <t>po_1Tm0qg4W4pZWhSUsQHVeQeRf / 2026-06-25</t>
  </si>
  <si>
    <t>stripe_tx_txn_1Tm0qg4W4pZWhSUsviCFaEHr</t>
  </si>
  <si>
    <t>txn_1Tm0qg4W4pZWhSUsT6lxQpN3</t>
  </si>
  <si>
    <t>stripe_tx_txn_1Tm0qg4W4pZWhSUsT6lxQpN3</t>
  </si>
  <si>
    <t>Codice Transazione PayPal</t>
  </si>
  <si>
    <t>Beneficiario</t>
  </si>
  <si>
    <t>Importo Lordo EUR</t>
  </si>
  <si>
    <t>Commissione EUR</t>
  </si>
  <si>
    <t>Netto EUR</t>
  </si>
  <si>
    <t>Riferimento Pareggio Fineco</t>
  </si>
  <si>
    <t>8H2761552M155881R</t>
  </si>
  <si>
    <t>Acquisto Fornitore</t>
  </si>
  <si>
    <t>staff.floremoria@gmail.com</t>
  </si>
  <si>
    <t>2026-04-10</t>
  </si>
  <si>
    <t>9A8499750D2285252</t>
  </si>
  <si>
    <t>BALLARATE PIETRO SRL</t>
  </si>
  <si>
    <t>6LH97042J7393174S</t>
  </si>
  <si>
    <t>3XB48226F37360348</t>
  </si>
  <si>
    <t>82B58826WV385183C</t>
  </si>
  <si>
    <t>POSTE ITALIANE</t>
  </si>
  <si>
    <t>8HU9782921899592D</t>
  </si>
  <si>
    <t>Vendita Corrispettivo</t>
  </si>
  <si>
    <t>6AS94292Y7499461C</t>
  </si>
  <si>
    <t>91241302SE580873S</t>
  </si>
  <si>
    <t>Payout Bancario</t>
  </si>
  <si>
    <t>6T004160S99663535</t>
  </si>
  <si>
    <t>78D426047W9492246</t>
  </si>
  <si>
    <t>LUCIANO MAMMI'</t>
  </si>
  <si>
    <t>Fee</t>
  </si>
  <si>
    <t>2XF07018PK103145M</t>
  </si>
  <si>
    <t>Google Payment Ireland Ltd.</t>
  </si>
  <si>
    <t>21Y4823370037602X</t>
  </si>
  <si>
    <t>89M937098L3249633</t>
  </si>
  <si>
    <t>1E800658BL9365347</t>
  </si>
  <si>
    <t>4NY34846PV611573B</t>
  </si>
  <si>
    <t>4N962739A9577274V</t>
  </si>
  <si>
    <t>CURSOR, AI POWERED IDE</t>
  </si>
  <si>
    <t>874150392V844421B</t>
  </si>
  <si>
    <t>Maria Antonia Pozzi</t>
  </si>
  <si>
    <t>5S1939199N219094Y</t>
  </si>
  <si>
    <t>37K20801TW477342A</t>
  </si>
  <si>
    <t>9PC816391V7631228</t>
  </si>
  <si>
    <t>4A479765WU569534F</t>
  </si>
  <si>
    <t>8K964385MG727131U</t>
  </si>
  <si>
    <t>12R45098BC982781G</t>
  </si>
  <si>
    <t>94G42603SL712010S</t>
  </si>
  <si>
    <t>7GF23476882551712</t>
  </si>
  <si>
    <t>CLAUDE.AI SUBSCRIPTION</t>
  </si>
  <si>
    <t>4MD86449G96695630</t>
  </si>
  <si>
    <t>32656268SE019460E</t>
  </si>
  <si>
    <t>2JG96124DK178913S</t>
  </si>
  <si>
    <t>6RD88283S1575845F</t>
  </si>
  <si>
    <t>2026-05-12</t>
  </si>
  <si>
    <t>1RM44236PH500671G</t>
  </si>
  <si>
    <t>Maria Agata Puliafico</t>
  </si>
  <si>
    <t>1J325577DW149802D</t>
  </si>
  <si>
    <t>207413328A941631E</t>
  </si>
  <si>
    <t>DANIELA RAMPOLDI</t>
  </si>
  <si>
    <t>51Y238123B712060X</t>
  </si>
  <si>
    <t>2026-05-24</t>
  </si>
  <si>
    <t>62T128000J086073T</t>
  </si>
  <si>
    <t>ORCHIDEADONGO.IT</t>
  </si>
  <si>
    <t>24A77834LA169935J</t>
  </si>
  <si>
    <t>7VN28748BM878350S</t>
  </si>
  <si>
    <t>03N8508046911650L</t>
  </si>
  <si>
    <t>1TR685039P823783W</t>
  </si>
  <si>
    <t>TRANSATEL (UBIGI)</t>
  </si>
  <si>
    <t>1E603059JB201804N</t>
  </si>
  <si>
    <t>96X24044MP787045N</t>
  </si>
  <si>
    <t>54A57291DE722454K</t>
  </si>
  <si>
    <t>0SY31590K23617908</t>
  </si>
  <si>
    <t>11W37347TF134233F</t>
  </si>
  <si>
    <t>5B896209JX7551639</t>
  </si>
  <si>
    <t>8BE9856555431964C</t>
  </si>
  <si>
    <t>9A614478T2629930F</t>
  </si>
  <si>
    <t>01Y38522SE467922R</t>
  </si>
  <si>
    <t>0P060381NB942892L</t>
  </si>
  <si>
    <t>ANTHROPIC* CLAUDE SUB</t>
  </si>
  <si>
    <t>0G2365690V538184J</t>
  </si>
  <si>
    <t>8CL823010F3183612</t>
  </si>
  <si>
    <t>8TD50354CE2245916</t>
  </si>
  <si>
    <t>2B561119BD6842445</t>
  </si>
  <si>
    <t>1JL35824UY976774W</t>
  </si>
  <si>
    <t>7B1003921C9599447</t>
  </si>
  <si>
    <t>TWILIO.COM</t>
  </si>
  <si>
    <t>28911748GK440544R</t>
  </si>
  <si>
    <t>2026-06-12</t>
  </si>
  <si>
    <t>9CK21524T2038383L</t>
  </si>
  <si>
    <t>5BD55790BK0356815</t>
  </si>
  <si>
    <t>FUTURIA</t>
  </si>
  <si>
    <t>779196767R914544R</t>
  </si>
  <si>
    <t>9M55499958026705A</t>
  </si>
  <si>
    <t>2026-06-14</t>
  </si>
  <si>
    <t>73847711UU6343059</t>
  </si>
  <si>
    <t>5S529896GY2972222</t>
  </si>
  <si>
    <t>1LR05360L6860764S</t>
  </si>
  <si>
    <t>09494489PT424830G</t>
  </si>
  <si>
    <t>84G35206RP980062S</t>
  </si>
  <si>
    <t>2026-06-23</t>
  </si>
  <si>
    <t>8H690604UU5969137</t>
  </si>
  <si>
    <t>DOSSIER NON QUADRATO (strumento interno)</t>
  </si>
  <si>
    <t>Verificabili OK 1/13 · non verificabili 1 · falliti 12</t>
  </si>
  <si>
    <t>Non verificabili: C14 — non bloccano l’export (METODO §2).</t>
  </si>
  <si>
    <t>Controlli falliti: C1, C2, C4, C5, C6, C7, C8, C9, C10, C11, C12, C13 — dettaglio in Da chiarire.</t>
  </si>
  <si>
    <t>Esito controlli C1–C13 (METODO §5)</t>
  </si>
  <si>
    <t>ID</t>
  </si>
  <si>
    <t>Controllo</t>
  </si>
  <si>
    <t>Misurato</t>
  </si>
  <si>
    <t>Atteso</t>
  </si>
  <si>
    <t>Scostamento</t>
  </si>
  <si>
    <t>Esito</t>
  </si>
  <si>
    <t>C1</t>
  </si>
  <si>
    <t>Completezza banca</t>
  </si>
  <si>
    <t>FAIL</t>
  </si>
  <si>
    <t>C2</t>
  </si>
  <si>
    <t>Quadratura banca</t>
  </si>
  <si>
    <t>C3</t>
  </si>
  <si>
    <t>Continuità saldo</t>
  </si>
  <si>
    <t>OK</t>
  </si>
  <si>
    <t>C4</t>
  </si>
  <si>
    <t>Incassi e corrispettivi</t>
  </si>
  <si>
    <t>C5</t>
  </si>
  <si>
    <t>Coerenza documenti</t>
  </si>
  <si>
    <t>C6</t>
  </si>
  <si>
    <t>Nessuno storno tecnico</t>
  </si>
  <si>
    <t>C7</t>
  </si>
  <si>
    <t>Identificazione fornitori</t>
  </si>
  <si>
    <t>C8</t>
  </si>
  <si>
    <t>Mastri ammessi</t>
  </si>
  <si>
    <t>C9</t>
  </si>
  <si>
    <t>Partite di giro</t>
  </si>
  <si>
    <t>C10</t>
  </si>
  <si>
    <t>Doppia gamba transito</t>
  </si>
  <si>
    <t>C11</t>
  </si>
  <si>
    <t>Coerenza di perimetro</t>
  </si>
  <si>
    <t>C12</t>
  </si>
  <si>
    <t>Data ordine = data incasso</t>
  </si>
  <si>
    <t>C13</t>
  </si>
  <si>
    <t>Saldo di transito / conto pagamento</t>
  </si>
  <si>
    <t>C14</t>
  </si>
  <si>
    <t>Coerenza fee partner (maturato = fattura = Connect)</t>
  </si>
  <si>
    <t>NON VERIFICABILE</t>
  </si>
  <si>
    <t>§8.3 Certezza aliquota IVA (lordo per stato)</t>
  </si>
  <si>
    <t>Stato</t>
  </si>
  <si>
    <t>Importo lordo EUR</t>
  </si>
  <si>
    <t>Nota</t>
  </si>
  <si>
    <t>Determinata</t>
  </si>
  <si>
    <t>da Product.vatRatePercent</t>
  </si>
  <si>
    <t>Presunta</t>
  </si>
  <si>
    <t>unica regola METODO §8.3 (.eu ≤ 01/07/2026)</t>
  </si>
  <si>
    <t>Mancante (esclusa da IVA)</t>
  </si>
  <si>
    <t>vedi foglio Da chiarire</t>
  </si>
  <si>
    <t>Raccordo finanziario (sintesi)</t>
  </si>
  <si>
    <t>Saldo banca a inizio periodo (dichiarato)</t>
  </si>
  <si>
    <t>2 Trimestre Fineco 2026.pdf</t>
  </si>
  <si>
    <t>Totale entrate</t>
  </si>
  <si>
    <t>estratto</t>
  </si>
  <si>
    <t>Totale uscite</t>
  </si>
  <si>
    <t>Saldo calcolato</t>
  </si>
  <si>
    <t>inizio + entrate − uscite</t>
  </si>
  <si>
    <t>Saldo banca a fine periodo (dichiarato)</t>
  </si>
  <si>
    <t>Differenza (C3)</t>
  </si>
  <si>
    <t>se saldi assenti → non verificabile</t>
  </si>
  <si>
    <t>Altri ricavi e proventi — contributo pubblico (non vendite)</t>
  </si>
  <si>
    <t>Contributo CCIAA / Bando Nuova Impresa (fuori campo IVA)</t>
  </si>
  <si>
    <t>2026-02-05 — non è fatturato vendite (€4.098,68 ufficiale resta separato)</t>
  </si>
  <si>
    <t>Tracciabilità (§12)</t>
  </si>
  <si>
    <t>Generato: 2026-09-17T15:49:06.585Z</t>
  </si>
  <si>
    <t>Metodo: v1.24</t>
  </si>
  <si>
    <t>Periodo: T2 2026</t>
  </si>
  <si>
    <t>Fonte estratto: 2 Trimestre Fineco 2026.pdf</t>
  </si>
  <si>
    <t>Imponibile Acquisti: € 431,53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</si>
</sst>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 #,##0.00"/>
  </numFmts>
  <fonts count="12" x14ac:knownFonts="1">
    <font>
      <color theme="1"/>
      <family val="2"/>
      <scheme val="minor"/>
      <sz val="11"/>
      <name val="Calibri"/>
    </font>
    <font>
      <b/>
      <color rgb="FF1E3A5F"/>
      <sz val="11"/>
      <name val="Calibri"/>
    </font>
    <font>
      <sz val="10"/>
      <name val="Calibri"/>
    </font>
    <font>
      <b/>
      <color rgb="FFB91C1C"/>
      <sz val="10"/>
      <name val="Calibri"/>
    </font>
    <font>
      <b/>
      <color rgb="FFB91C1C"/>
      <sz val="13"/>
      <name val="Calibri"/>
    </font>
    <font>
      <b/>
      <sz val="12"/>
      <name val="Calibri"/>
    </font>
    <font>
      <color rgb="FFB91C1C"/>
      <sz val="10"/>
      <name val="Calibri"/>
    </font>
    <font>
      <color rgb="FF047857"/>
      <sz val="10"/>
      <name val="Calibri"/>
    </font>
    <font>
      <i/>
      <color rgb="FF64748B"/>
      <sz val="9"/>
      <name val="Calibri"/>
    </font>
    <font>
      <b/>
      <color rgb="FFB91C1C"/>
      <sz val="14"/>
      <name val="Calibri"/>
    </font>
    <font>
      <b/>
      <color rgb="FFB45309"/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4" fillId="0" borderId="0" xfId="0" applyFont="1"/>
    <xf numFmtId="0" fontId="5" fillId="0" borderId="0" xfId="0" applyFont="1"/>
    <xf numFmtId="164" fontId="6" fillId="0" borderId="1" xfId="0" applyNumberFormat="1" applyFont="1" applyBorder="1"/>
    <xf numFmtId="164" fontId="7" fillId="0" borderId="1" xfId="0" applyNumberFormat="1" applyFont="1" applyBorder="1"/>
    <xf numFmtId="0" fontId="8" fillId="0" borderId="0" xfId="0" applyFont="1"/>
    <xf numFmtId="0" fontId="9" fillId="0" borderId="0" xfId="0" applyFont="1"/>
    <xf numFmtId="0" fontId="10" fillId="0" borderId="1" xfId="0" applyFont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9" customWidth="1"/>
    <col min="4" max="4" width="15" customWidth="1"/>
    <col min="5" max="5" width="29" customWidth="1"/>
    <col min="6" max="6" width="12" customWidth="1"/>
    <col min="7" max="7" width="16" customWidth="1"/>
    <col min="8" max="9" width="17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3">
        <v>29.99</v>
      </c>
      <c r="F2" s="2">
        <v>10</v>
      </c>
      <c r="G2" s="2" t="s">
        <v>13</v>
      </c>
      <c r="H2" s="3">
        <v>27.26</v>
      </c>
      <c r="I2" s="3">
        <v>2.73</v>
      </c>
    </row>
    <row r="3" spans="1:9" x14ac:dyDescent="0.25">
      <c r="A3" s="2" t="s">
        <v>14</v>
      </c>
      <c r="B3" s="2" t="s">
        <v>10</v>
      </c>
      <c r="C3" s="2" t="s">
        <v>15</v>
      </c>
      <c r="D3" s="2" t="s">
        <v>12</v>
      </c>
      <c r="E3" s="3">
        <v>29.99</v>
      </c>
      <c r="F3" s="2">
        <v>10</v>
      </c>
      <c r="G3" s="2" t="s">
        <v>13</v>
      </c>
      <c r="H3" s="3">
        <v>27.26</v>
      </c>
      <c r="I3" s="3">
        <v>2.73</v>
      </c>
    </row>
    <row r="4" spans="1:9" x14ac:dyDescent="0.25">
      <c r="A4" s="2" t="s">
        <v>16</v>
      </c>
      <c r="B4" s="2" t="s">
        <v>10</v>
      </c>
      <c r="C4" s="2" t="s">
        <v>17</v>
      </c>
      <c r="D4" s="2" t="s">
        <v>12</v>
      </c>
      <c r="E4" s="3">
        <v>39.99</v>
      </c>
      <c r="F4" s="2">
        <v>10</v>
      </c>
      <c r="G4" s="2" t="s">
        <v>13</v>
      </c>
      <c r="H4" s="3">
        <v>36.35</v>
      </c>
      <c r="I4" s="3">
        <v>3.64</v>
      </c>
    </row>
    <row r="5" spans="1:9" x14ac:dyDescent="0.25">
      <c r="A5" s="2" t="s">
        <v>16</v>
      </c>
      <c r="B5" s="2" t="s">
        <v>18</v>
      </c>
      <c r="C5" s="2" t="s">
        <v>19</v>
      </c>
      <c r="D5" s="2" t="s">
        <v>12</v>
      </c>
      <c r="E5" s="3">
        <v>59.98</v>
      </c>
      <c r="F5" s="2">
        <v>10</v>
      </c>
      <c r="G5" s="2" t="s">
        <v>13</v>
      </c>
      <c r="H5" s="3">
        <v>54.53</v>
      </c>
      <c r="I5" s="3">
        <v>5.45</v>
      </c>
    </row>
    <row r="6" spans="1:9" x14ac:dyDescent="0.25">
      <c r="A6" s="2" t="s">
        <v>20</v>
      </c>
      <c r="B6" s="2" t="s">
        <v>10</v>
      </c>
      <c r="C6" s="2" t="s">
        <v>21</v>
      </c>
      <c r="D6" s="2" t="s">
        <v>12</v>
      </c>
      <c r="E6" s="3">
        <v>39.99</v>
      </c>
      <c r="F6" s="2">
        <v>10</v>
      </c>
      <c r="G6" s="2" t="s">
        <v>13</v>
      </c>
      <c r="H6" s="3">
        <v>36.35</v>
      </c>
      <c r="I6" s="3">
        <v>3.64</v>
      </c>
    </row>
    <row r="7" spans="1:9" x14ac:dyDescent="0.25">
      <c r="A7" s="2" t="s">
        <v>22</v>
      </c>
      <c r="B7" s="2" t="s">
        <v>10</v>
      </c>
      <c r="C7" s="2" t="s">
        <v>23</v>
      </c>
      <c r="D7" s="2" t="s">
        <v>12</v>
      </c>
      <c r="E7" s="3">
        <v>14.99</v>
      </c>
      <c r="F7" s="2">
        <v>22</v>
      </c>
      <c r="G7" s="2" t="s">
        <v>13</v>
      </c>
      <c r="H7" s="3">
        <v>12.29</v>
      </c>
      <c r="I7" s="3">
        <v>2.7</v>
      </c>
    </row>
    <row r="8" spans="1:9" x14ac:dyDescent="0.25">
      <c r="A8" s="2" t="s">
        <v>22</v>
      </c>
      <c r="B8" s="2" t="s">
        <v>10</v>
      </c>
      <c r="C8" s="2" t="s">
        <v>23</v>
      </c>
      <c r="D8" s="2" t="s">
        <v>12</v>
      </c>
      <c r="E8" s="3">
        <v>39.99</v>
      </c>
      <c r="F8" s="2">
        <v>10</v>
      </c>
      <c r="G8" s="2" t="s">
        <v>13</v>
      </c>
      <c r="H8" s="3">
        <v>36.35</v>
      </c>
      <c r="I8" s="3">
        <v>3.64</v>
      </c>
    </row>
    <row r="9" spans="1:9" x14ac:dyDescent="0.25">
      <c r="A9" s="2" t="s">
        <v>24</v>
      </c>
      <c r="B9" s="2" t="s">
        <v>10</v>
      </c>
      <c r="C9" s="2" t="s">
        <v>25</v>
      </c>
      <c r="D9" s="2" t="s">
        <v>12</v>
      </c>
      <c r="E9" s="3">
        <v>39.99</v>
      </c>
      <c r="F9" s="2">
        <v>10</v>
      </c>
      <c r="G9" s="2" t="s">
        <v>13</v>
      </c>
      <c r="H9" s="3">
        <v>36.35</v>
      </c>
      <c r="I9" s="3">
        <v>3.64</v>
      </c>
    </row>
    <row r="10" spans="1:9" x14ac:dyDescent="0.25">
      <c r="A10" s="2" t="s">
        <v>24</v>
      </c>
      <c r="B10" s="2" t="s">
        <v>10</v>
      </c>
      <c r="C10" s="2" t="s">
        <v>25</v>
      </c>
      <c r="D10" s="2" t="s">
        <v>12</v>
      </c>
      <c r="E10" s="3">
        <v>5.98</v>
      </c>
      <c r="F10" s="2">
        <v>22</v>
      </c>
      <c r="G10" s="2" t="s">
        <v>13</v>
      </c>
      <c r="H10" s="3">
        <v>4.9</v>
      </c>
      <c r="I10" s="3">
        <v>1.08</v>
      </c>
    </row>
    <row r="11" spans="1:9" x14ac:dyDescent="0.25">
      <c r="A11" s="2" t="s">
        <v>26</v>
      </c>
      <c r="B11" s="2" t="s">
        <v>18</v>
      </c>
      <c r="C11" s="2" t="s">
        <v>27</v>
      </c>
      <c r="D11" s="2" t="s">
        <v>12</v>
      </c>
      <c r="E11" s="3">
        <v>3.49</v>
      </c>
      <c r="F11" s="2">
        <v>22</v>
      </c>
      <c r="G11" s="2" t="s">
        <v>13</v>
      </c>
      <c r="H11" s="3">
        <v>2.86</v>
      </c>
      <c r="I11" s="3">
        <v>0.63</v>
      </c>
    </row>
    <row r="12" spans="1:9" x14ac:dyDescent="0.25">
      <c r="A12" s="2" t="s">
        <v>26</v>
      </c>
      <c r="B12" s="2" t="s">
        <v>18</v>
      </c>
      <c r="C12" s="2" t="s">
        <v>27</v>
      </c>
      <c r="D12" s="2" t="s">
        <v>12</v>
      </c>
      <c r="E12" s="3">
        <v>49.99</v>
      </c>
      <c r="F12" s="2">
        <v>10</v>
      </c>
      <c r="G12" s="2" t="s">
        <v>13</v>
      </c>
      <c r="H12" s="3">
        <v>45.45</v>
      </c>
      <c r="I12" s="3">
        <v>4.54</v>
      </c>
    </row>
    <row r="13" spans="1:9" x14ac:dyDescent="0.25">
      <c r="A13" s="2" t="s">
        <v>26</v>
      </c>
      <c r="B13" s="2" t="s">
        <v>10</v>
      </c>
      <c r="C13" s="2" t="s">
        <v>28</v>
      </c>
      <c r="D13" s="2" t="s">
        <v>29</v>
      </c>
      <c r="E13" s="3">
        <v>284.9</v>
      </c>
      <c r="F13" s="2">
        <v>10</v>
      </c>
      <c r="G13" s="2" t="s">
        <v>13</v>
      </c>
      <c r="H13" s="3">
        <v>259</v>
      </c>
      <c r="I13" s="3">
        <v>25.9</v>
      </c>
    </row>
    <row r="14" spans="1:9" x14ac:dyDescent="0.25">
      <c r="A14" s="2" t="s">
        <v>30</v>
      </c>
      <c r="B14" s="2" t="s">
        <v>10</v>
      </c>
      <c r="C14" s="2" t="s">
        <v>31</v>
      </c>
      <c r="D14" s="2" t="s">
        <v>12</v>
      </c>
      <c r="E14" s="3">
        <v>29.99</v>
      </c>
      <c r="F14" s="2" t="s">
        <v>12</v>
      </c>
      <c r="G14" s="4" t="s">
        <v>32</v>
      </c>
      <c r="H14" s="3" t="s">
        <v>12</v>
      </c>
      <c r="I14" s="3" t="s">
        <v>12</v>
      </c>
    </row>
    <row r="15" spans="1:9" x14ac:dyDescent="0.25">
      <c r="A15" s="2" t="s">
        <v>33</v>
      </c>
      <c r="B15" s="2" t="s">
        <v>18</v>
      </c>
      <c r="C15" s="2" t="s">
        <v>34</v>
      </c>
      <c r="D15" s="2" t="s">
        <v>12</v>
      </c>
      <c r="E15" s="3">
        <v>49.99</v>
      </c>
      <c r="F15" s="2">
        <v>10</v>
      </c>
      <c r="G15" s="2" t="s">
        <v>13</v>
      </c>
      <c r="H15" s="3">
        <v>45.45</v>
      </c>
      <c r="I15" s="3">
        <v>4.54</v>
      </c>
    </row>
    <row r="16" spans="1:9" x14ac:dyDescent="0.25">
      <c r="A16" s="2" t="s">
        <v>35</v>
      </c>
      <c r="B16" s="2" t="s">
        <v>10</v>
      </c>
      <c r="C16" s="2" t="s">
        <v>36</v>
      </c>
      <c r="D16" s="2" t="s">
        <v>12</v>
      </c>
      <c r="E16" s="3">
        <v>34.99</v>
      </c>
      <c r="F16" s="2" t="s">
        <v>12</v>
      </c>
      <c r="G16" s="4" t="s">
        <v>32</v>
      </c>
      <c r="H16" s="3" t="s">
        <v>12</v>
      </c>
      <c r="I16" s="3" t="s">
        <v>12</v>
      </c>
    </row>
    <row r="17" spans="1:9" x14ac:dyDescent="0.25">
      <c r="A17" s="2" t="s">
        <v>37</v>
      </c>
      <c r="B17" s="2" t="s">
        <v>18</v>
      </c>
      <c r="C17" s="2" t="s">
        <v>38</v>
      </c>
      <c r="D17" s="2" t="s">
        <v>12</v>
      </c>
      <c r="E17" s="3">
        <v>31.48</v>
      </c>
      <c r="F17" s="2" t="s">
        <v>12</v>
      </c>
      <c r="G17" s="4" t="s">
        <v>32</v>
      </c>
      <c r="H17" s="3" t="s">
        <v>12</v>
      </c>
      <c r="I17" s="3" t="s">
        <v>12</v>
      </c>
    </row>
    <row r="18" spans="1:9" x14ac:dyDescent="0.25">
      <c r="A18" s="2" t="s">
        <v>37</v>
      </c>
      <c r="B18" s="2" t="s">
        <v>18</v>
      </c>
      <c r="C18" s="2" t="s">
        <v>39</v>
      </c>
      <c r="D18" s="2" t="s">
        <v>12</v>
      </c>
      <c r="E18" s="3">
        <v>31.48</v>
      </c>
      <c r="F18" s="2" t="s">
        <v>12</v>
      </c>
      <c r="G18" s="4" t="s">
        <v>32</v>
      </c>
      <c r="H18" s="3" t="s">
        <v>12</v>
      </c>
      <c r="I18" s="3" t="s">
        <v>12</v>
      </c>
    </row>
    <row r="19" spans="1:9" x14ac:dyDescent="0.25">
      <c r="A19" s="2" t="s">
        <v>40</v>
      </c>
      <c r="B19" s="2" t="s">
        <v>18</v>
      </c>
      <c r="C19" s="2" t="s">
        <v>41</v>
      </c>
      <c r="D19" s="2" t="s">
        <v>12</v>
      </c>
      <c r="E19" s="3">
        <v>32.48</v>
      </c>
      <c r="F19" s="2" t="s">
        <v>12</v>
      </c>
      <c r="G19" s="4" t="s">
        <v>32</v>
      </c>
      <c r="H19" s="3" t="s">
        <v>12</v>
      </c>
      <c r="I19" s="3" t="s">
        <v>12</v>
      </c>
    </row>
    <row r="20" spans="1:9" x14ac:dyDescent="0.25">
      <c r="A20" s="2" t="s">
        <v>42</v>
      </c>
      <c r="B20" s="2" t="s">
        <v>10</v>
      </c>
      <c r="C20" s="2" t="s">
        <v>43</v>
      </c>
      <c r="D20" s="2" t="s">
        <v>12</v>
      </c>
      <c r="E20" s="3">
        <v>69.99</v>
      </c>
      <c r="F20" s="2">
        <v>10</v>
      </c>
      <c r="G20" s="2" t="s">
        <v>13</v>
      </c>
      <c r="H20" s="3">
        <v>63.63</v>
      </c>
      <c r="I20" s="3">
        <v>6.36</v>
      </c>
    </row>
    <row r="21" spans="1:9" x14ac:dyDescent="0.25">
      <c r="A21" s="2" t="s">
        <v>42</v>
      </c>
      <c r="B21" s="2" t="s">
        <v>10</v>
      </c>
      <c r="C21" s="2" t="s">
        <v>43</v>
      </c>
      <c r="D21" s="2" t="s">
        <v>12</v>
      </c>
      <c r="E21" s="3">
        <v>14.99</v>
      </c>
      <c r="F21" s="2">
        <v>22</v>
      </c>
      <c r="G21" s="2" t="s">
        <v>13</v>
      </c>
      <c r="H21" s="3">
        <v>12.29</v>
      </c>
      <c r="I21" s="3">
        <v>2.7</v>
      </c>
    </row>
    <row r="22" spans="1:9" x14ac:dyDescent="0.25">
      <c r="A22" s="2" t="s">
        <v>44</v>
      </c>
      <c r="B22" s="2" t="s">
        <v>10</v>
      </c>
      <c r="C22" s="2" t="s">
        <v>45</v>
      </c>
      <c r="D22" s="2" t="s">
        <v>12</v>
      </c>
      <c r="E22" s="3">
        <v>89.99</v>
      </c>
      <c r="F22" s="2">
        <v>10</v>
      </c>
      <c r="G22" s="2" t="s">
        <v>13</v>
      </c>
      <c r="H22" s="3">
        <v>81.81</v>
      </c>
      <c r="I22" s="3">
        <v>8.18</v>
      </c>
    </row>
    <row r="23" spans="1:9" x14ac:dyDescent="0.25">
      <c r="A23" s="2" t="s">
        <v>46</v>
      </c>
      <c r="B23" s="2" t="s">
        <v>10</v>
      </c>
      <c r="C23" s="2" t="s">
        <v>47</v>
      </c>
      <c r="D23" s="2" t="s">
        <v>12</v>
      </c>
      <c r="E23" s="3">
        <v>43.97</v>
      </c>
      <c r="F23" s="2" t="s">
        <v>12</v>
      </c>
      <c r="G23" s="4" t="s">
        <v>32</v>
      </c>
      <c r="H23" s="3" t="s">
        <v>12</v>
      </c>
      <c r="I23" s="3" t="s">
        <v>12</v>
      </c>
    </row>
    <row r="24" spans="1:9" x14ac:dyDescent="0.25">
      <c r="A24" s="2" t="s">
        <v>48</v>
      </c>
      <c r="B24" s="2" t="s">
        <v>10</v>
      </c>
      <c r="C24" s="2" t="s">
        <v>49</v>
      </c>
      <c r="D24" s="2" t="s">
        <v>12</v>
      </c>
      <c r="E24" s="3">
        <v>39.99</v>
      </c>
      <c r="F24" s="2">
        <v>10</v>
      </c>
      <c r="G24" s="2" t="s">
        <v>13</v>
      </c>
      <c r="H24" s="3">
        <v>36.35</v>
      </c>
      <c r="I24" s="3">
        <v>3.64</v>
      </c>
    </row>
    <row r="25" spans="1:9" x14ac:dyDescent="0.25">
      <c r="A25" s="2" t="s">
        <v>48</v>
      </c>
      <c r="B25" s="2" t="s">
        <v>10</v>
      </c>
      <c r="C25" s="2" t="s">
        <v>49</v>
      </c>
      <c r="D25" s="2" t="s">
        <v>12</v>
      </c>
      <c r="E25" s="3">
        <v>9.47</v>
      </c>
      <c r="F25" s="2">
        <v>22</v>
      </c>
      <c r="G25" s="2" t="s">
        <v>13</v>
      </c>
      <c r="H25" s="3">
        <v>7.76</v>
      </c>
      <c r="I25" s="3">
        <v>1.71</v>
      </c>
    </row>
    <row r="26" spans="1:9" x14ac:dyDescent="0.25">
      <c r="A26" s="2" t="s">
        <v>50</v>
      </c>
      <c r="B26" s="2" t="s">
        <v>18</v>
      </c>
      <c r="C26" s="2" t="s">
        <v>51</v>
      </c>
      <c r="D26" s="2" t="s">
        <v>12</v>
      </c>
      <c r="E26" s="3">
        <v>31.48</v>
      </c>
      <c r="F26" s="2" t="s">
        <v>12</v>
      </c>
      <c r="G26" s="4" t="s">
        <v>32</v>
      </c>
      <c r="H26" s="3" t="s">
        <v>12</v>
      </c>
      <c r="I26" s="3" t="s">
        <v>12</v>
      </c>
    </row>
    <row r="27" spans="1:9" x14ac:dyDescent="0.25">
      <c r="A27" s="2" t="s">
        <v>50</v>
      </c>
      <c r="B27" s="2" t="s">
        <v>18</v>
      </c>
      <c r="C27" s="2" t="s">
        <v>52</v>
      </c>
      <c r="D27" s="2" t="s">
        <v>12</v>
      </c>
      <c r="E27" s="3">
        <v>31.48</v>
      </c>
      <c r="F27" s="2" t="s">
        <v>12</v>
      </c>
      <c r="G27" s="4" t="s">
        <v>32</v>
      </c>
      <c r="H27" s="3" t="s">
        <v>12</v>
      </c>
      <c r="I27" s="3" t="s">
        <v>12</v>
      </c>
    </row>
    <row r="28" spans="1:9" x14ac:dyDescent="0.25">
      <c r="A28" s="2" t="s">
        <v>53</v>
      </c>
      <c r="B28" s="2" t="s">
        <v>10</v>
      </c>
      <c r="C28" s="2" t="s">
        <v>54</v>
      </c>
      <c r="D28" s="2" t="s">
        <v>12</v>
      </c>
      <c r="E28" s="3">
        <v>64.98</v>
      </c>
      <c r="F28" s="2" t="s">
        <v>12</v>
      </c>
      <c r="G28" s="4" t="s">
        <v>32</v>
      </c>
      <c r="H28" s="3" t="s">
        <v>12</v>
      </c>
      <c r="I28" s="3" t="s">
        <v>12</v>
      </c>
    </row>
    <row r="29" spans="1:9" x14ac:dyDescent="0.25">
      <c r="D29" s="5" t="s">
        <v>55</v>
      </c>
      <c r="E29" s="6">
        <f>SUM(E2:E28)</f>
      </c>
      <c r="H29" s="6">
        <f>SUM(H2:H28)</f>
      </c>
      <c r="I29" s="6">
        <f>SUM(I2:I28)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15" customWidth="1"/>
    <col min="3" max="3" width="23" customWidth="1"/>
    <col min="4" max="4" width="44" customWidth="1"/>
    <col min="5" max="5" width="12" customWidth="1"/>
    <col min="6" max="6" width="17" customWidth="1"/>
    <col min="7" max="7" width="12" customWidth="1"/>
    <col min="8" max="8" width="17" customWidth="1"/>
  </cols>
  <sheetData>
    <row r="1" ht="24" customHeight="1" spans="1:8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0</v>
      </c>
      <c r="F1" s="1" t="s">
        <v>7</v>
      </c>
      <c r="G1" s="1" t="s">
        <v>5</v>
      </c>
      <c r="H1" s="1" t="s">
        <v>8</v>
      </c>
    </row>
    <row r="2" spans="1:8" x14ac:dyDescent="0.25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>
        <v>7.98</v>
      </c>
      <c r="G2" s="2">
        <v>22</v>
      </c>
      <c r="H2" s="3">
        <v>1.76</v>
      </c>
    </row>
    <row r="3" spans="1:8" x14ac:dyDescent="0.25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3">
        <v>7.48</v>
      </c>
      <c r="G3" s="2">
        <v>22.06</v>
      </c>
      <c r="H3" s="3">
        <v>1.65</v>
      </c>
    </row>
    <row r="4" spans="1:8" x14ac:dyDescent="0.25">
      <c r="A4" s="2" t="s">
        <v>70</v>
      </c>
      <c r="B4" s="2" t="s">
        <v>71</v>
      </c>
      <c r="C4" s="2" t="s">
        <v>67</v>
      </c>
      <c r="D4" s="2" t="s">
        <v>72</v>
      </c>
      <c r="E4" s="2" t="s">
        <v>73</v>
      </c>
      <c r="F4" s="3">
        <v>20</v>
      </c>
      <c r="G4" s="2">
        <v>22</v>
      </c>
      <c r="H4" s="3">
        <v>3.61</v>
      </c>
    </row>
    <row r="5" spans="1:8" x14ac:dyDescent="0.25">
      <c r="A5" s="2" t="s">
        <v>74</v>
      </c>
      <c r="B5" s="2" t="s">
        <v>75</v>
      </c>
      <c r="C5" s="2" t="s">
        <v>67</v>
      </c>
      <c r="D5" s="2" t="s">
        <v>76</v>
      </c>
      <c r="E5" s="2" t="s">
        <v>20</v>
      </c>
      <c r="F5" s="3">
        <v>59.99</v>
      </c>
      <c r="G5" s="2">
        <v>22</v>
      </c>
      <c r="H5" s="3">
        <v>13.2</v>
      </c>
    </row>
    <row r="6" spans="1:8" x14ac:dyDescent="0.25">
      <c r="A6" s="2" t="s">
        <v>77</v>
      </c>
      <c r="B6" s="2" t="s">
        <v>78</v>
      </c>
      <c r="C6" s="2" t="s">
        <v>67</v>
      </c>
      <c r="D6" s="2" t="s">
        <v>79</v>
      </c>
      <c r="E6" s="2" t="s">
        <v>22</v>
      </c>
      <c r="F6" s="3">
        <v>30</v>
      </c>
      <c r="G6" s="2">
        <v>10</v>
      </c>
      <c r="H6" s="3">
        <v>3</v>
      </c>
    </row>
    <row r="7" spans="1:8" x14ac:dyDescent="0.25">
      <c r="A7" s="2" t="s">
        <v>74</v>
      </c>
      <c r="B7" s="2" t="s">
        <v>75</v>
      </c>
      <c r="C7" s="2" t="s">
        <v>67</v>
      </c>
      <c r="D7" s="2" t="s">
        <v>80</v>
      </c>
      <c r="E7" s="2" t="s">
        <v>81</v>
      </c>
      <c r="F7" s="3">
        <v>50</v>
      </c>
      <c r="G7" s="2">
        <v>22</v>
      </c>
      <c r="H7" s="3">
        <v>11</v>
      </c>
    </row>
    <row r="8" spans="1:8" x14ac:dyDescent="0.25">
      <c r="A8" s="2" t="s">
        <v>82</v>
      </c>
      <c r="B8" s="2" t="s">
        <v>83</v>
      </c>
      <c r="C8" s="2" t="s">
        <v>62</v>
      </c>
      <c r="D8" s="2" t="s">
        <v>84</v>
      </c>
      <c r="E8" s="2" t="s">
        <v>81</v>
      </c>
      <c r="F8" s="3">
        <v>2.39</v>
      </c>
      <c r="G8" s="2">
        <v>22</v>
      </c>
      <c r="H8" s="3">
        <v>0.53</v>
      </c>
    </row>
    <row r="9" spans="1:8" x14ac:dyDescent="0.25">
      <c r="A9" s="2" t="s">
        <v>60</v>
      </c>
      <c r="B9" s="2" t="s">
        <v>61</v>
      </c>
      <c r="C9" s="2" t="s">
        <v>62</v>
      </c>
      <c r="D9" s="2" t="s">
        <v>85</v>
      </c>
      <c r="E9" s="2" t="s">
        <v>81</v>
      </c>
      <c r="F9" s="3">
        <v>4.61</v>
      </c>
      <c r="G9" s="2">
        <v>22</v>
      </c>
      <c r="H9" s="3">
        <v>1.02</v>
      </c>
    </row>
    <row r="10" spans="1:8" x14ac:dyDescent="0.25">
      <c r="A10" s="2" t="s">
        <v>86</v>
      </c>
      <c r="B10" s="2" t="s">
        <v>12</v>
      </c>
      <c r="C10" s="2" t="s">
        <v>62</v>
      </c>
      <c r="D10" s="2" t="s">
        <v>87</v>
      </c>
      <c r="E10" s="2" t="s">
        <v>88</v>
      </c>
      <c r="F10" s="3">
        <v>17.75</v>
      </c>
      <c r="G10" s="2">
        <v>22</v>
      </c>
      <c r="H10" s="3">
        <v>3.91</v>
      </c>
    </row>
    <row r="11" spans="1:8" x14ac:dyDescent="0.25">
      <c r="A11" s="2" t="s">
        <v>65</v>
      </c>
      <c r="B11" s="2" t="s">
        <v>66</v>
      </c>
      <c r="C11" s="2" t="s">
        <v>67</v>
      </c>
      <c r="D11" s="2" t="s">
        <v>89</v>
      </c>
      <c r="E11" s="2" t="s">
        <v>90</v>
      </c>
      <c r="F11" s="3">
        <v>47.5</v>
      </c>
      <c r="G11" s="2">
        <v>22</v>
      </c>
      <c r="H11" s="3">
        <v>10.45</v>
      </c>
    </row>
    <row r="12" spans="1:8" x14ac:dyDescent="0.25">
      <c r="A12" s="2" t="s">
        <v>91</v>
      </c>
      <c r="B12" s="2" t="s">
        <v>12</v>
      </c>
      <c r="C12" s="2" t="s">
        <v>62</v>
      </c>
      <c r="D12" s="2" t="s">
        <v>92</v>
      </c>
      <c r="E12" s="2" t="s">
        <v>93</v>
      </c>
      <c r="F12" s="3">
        <v>18</v>
      </c>
      <c r="G12" s="2">
        <v>22</v>
      </c>
      <c r="H12" s="3">
        <v>3.96</v>
      </c>
    </row>
    <row r="13" spans="1:8" x14ac:dyDescent="0.25">
      <c r="A13" s="2" t="s">
        <v>94</v>
      </c>
      <c r="B13" s="2" t="s">
        <v>95</v>
      </c>
      <c r="C13" s="2" t="s">
        <v>67</v>
      </c>
      <c r="D13" s="2" t="s">
        <v>96</v>
      </c>
      <c r="E13" s="2" t="s">
        <v>97</v>
      </c>
      <c r="F13" s="3">
        <v>20</v>
      </c>
      <c r="G13" s="2">
        <v>22</v>
      </c>
      <c r="H13" s="3">
        <v>3.61</v>
      </c>
    </row>
    <row r="14" spans="1:8" x14ac:dyDescent="0.25">
      <c r="A14" s="2" t="s">
        <v>98</v>
      </c>
      <c r="B14" s="2" t="s">
        <v>61</v>
      </c>
      <c r="C14" s="2" t="s">
        <v>62</v>
      </c>
      <c r="D14" s="2" t="s">
        <v>99</v>
      </c>
      <c r="E14" s="2" t="s">
        <v>100</v>
      </c>
      <c r="F14" s="3">
        <v>3.83</v>
      </c>
      <c r="G14" s="2">
        <v>22</v>
      </c>
      <c r="H14" s="3">
        <v>0</v>
      </c>
    </row>
    <row r="15" spans="1:8" x14ac:dyDescent="0.25">
      <c r="A15" s="2" t="s">
        <v>82</v>
      </c>
      <c r="B15" s="2" t="s">
        <v>83</v>
      </c>
      <c r="C15" s="2" t="s">
        <v>62</v>
      </c>
      <c r="D15" s="2" t="s">
        <v>101</v>
      </c>
      <c r="E15" s="2" t="s">
        <v>100</v>
      </c>
      <c r="F15" s="3">
        <v>9.2</v>
      </c>
      <c r="G15" s="2">
        <v>22</v>
      </c>
      <c r="H15" s="3">
        <v>2.02</v>
      </c>
    </row>
    <row r="16" spans="1:8" x14ac:dyDescent="0.25">
      <c r="A16" s="2" t="s">
        <v>102</v>
      </c>
      <c r="B16" s="2" t="s">
        <v>12</v>
      </c>
      <c r="C16" s="2" t="s">
        <v>62</v>
      </c>
      <c r="D16" s="2" t="s">
        <v>103</v>
      </c>
      <c r="E16" s="2" t="s">
        <v>100</v>
      </c>
      <c r="F16" s="3">
        <v>3.14</v>
      </c>
      <c r="G16" s="2">
        <v>22</v>
      </c>
      <c r="H16" s="3">
        <v>0.69</v>
      </c>
    </row>
    <row r="17" spans="1:8" x14ac:dyDescent="0.25">
      <c r="A17" s="2" t="s">
        <v>60</v>
      </c>
      <c r="B17" s="2" t="s">
        <v>61</v>
      </c>
      <c r="C17" s="2" t="s">
        <v>62</v>
      </c>
      <c r="D17" s="2" t="s">
        <v>104</v>
      </c>
      <c r="E17" s="2" t="s">
        <v>100</v>
      </c>
      <c r="F17" s="3">
        <v>12.18</v>
      </c>
      <c r="G17" s="2">
        <v>22</v>
      </c>
      <c r="H17" s="3">
        <v>2.68</v>
      </c>
    </row>
    <row r="18" spans="1:8" x14ac:dyDescent="0.25">
      <c r="A18" s="2" t="s">
        <v>60</v>
      </c>
      <c r="B18" s="2" t="s">
        <v>61</v>
      </c>
      <c r="C18" s="2" t="s">
        <v>62</v>
      </c>
      <c r="D18" s="2" t="s">
        <v>105</v>
      </c>
      <c r="E18" s="2" t="s">
        <v>100</v>
      </c>
      <c r="F18" s="3">
        <v>5.29</v>
      </c>
      <c r="G18" s="2">
        <v>22</v>
      </c>
      <c r="H18" s="3">
        <v>1.16</v>
      </c>
    </row>
    <row r="19" spans="1:8" x14ac:dyDescent="0.25">
      <c r="A19" s="2" t="s">
        <v>86</v>
      </c>
      <c r="B19" s="2" t="s">
        <v>12</v>
      </c>
      <c r="C19" s="2" t="s">
        <v>62</v>
      </c>
      <c r="D19" s="2" t="s">
        <v>106</v>
      </c>
      <c r="E19" s="2" t="s">
        <v>107</v>
      </c>
      <c r="F19" s="3">
        <v>17.75</v>
      </c>
      <c r="G19" s="2">
        <v>22</v>
      </c>
      <c r="H19" s="3">
        <v>3.91</v>
      </c>
    </row>
    <row r="20" spans="1:8" x14ac:dyDescent="0.25">
      <c r="A20" s="2" t="s">
        <v>91</v>
      </c>
      <c r="B20" s="2" t="s">
        <v>12</v>
      </c>
      <c r="C20" s="2" t="s">
        <v>62</v>
      </c>
      <c r="D20" s="2" t="s">
        <v>108</v>
      </c>
      <c r="E20" s="2" t="s">
        <v>109</v>
      </c>
      <c r="F20" s="3">
        <v>18</v>
      </c>
      <c r="G20" s="2">
        <v>22</v>
      </c>
      <c r="H20" s="3">
        <v>3.96</v>
      </c>
    </row>
    <row r="21" spans="1:8" x14ac:dyDescent="0.25">
      <c r="A21" s="2" t="s">
        <v>110</v>
      </c>
      <c r="B21" s="2" t="s">
        <v>12</v>
      </c>
      <c r="C21" s="2" t="s">
        <v>62</v>
      </c>
      <c r="D21" s="2" t="s">
        <v>111</v>
      </c>
      <c r="E21" s="2" t="s">
        <v>48</v>
      </c>
      <c r="F21" s="3">
        <v>0.81</v>
      </c>
      <c r="G21" s="2">
        <v>22</v>
      </c>
      <c r="H21" s="3">
        <v>0.18</v>
      </c>
    </row>
    <row r="22" spans="1:8" x14ac:dyDescent="0.25">
      <c r="A22" s="2" t="s">
        <v>112</v>
      </c>
      <c r="B22" s="2" t="s">
        <v>113</v>
      </c>
      <c r="C22" s="2" t="s">
        <v>67</v>
      </c>
      <c r="D22" s="2" t="s">
        <v>114</v>
      </c>
      <c r="E22" s="2" t="s">
        <v>115</v>
      </c>
      <c r="F22" s="3">
        <v>62</v>
      </c>
      <c r="G22" s="2">
        <v>22</v>
      </c>
      <c r="H22" s="3">
        <v>11.18</v>
      </c>
    </row>
    <row r="23" spans="1:8" x14ac:dyDescent="0.25">
      <c r="A23" s="2" t="s">
        <v>82</v>
      </c>
      <c r="B23" s="2" t="s">
        <v>83</v>
      </c>
      <c r="C23" s="2" t="s">
        <v>62</v>
      </c>
      <c r="D23" s="2" t="s">
        <v>116</v>
      </c>
      <c r="E23" s="2" t="s">
        <v>117</v>
      </c>
      <c r="F23" s="3">
        <v>2.84</v>
      </c>
      <c r="G23" s="2">
        <v>22</v>
      </c>
      <c r="H23" s="3">
        <v>0.62</v>
      </c>
    </row>
    <row r="24" spans="1:8" x14ac:dyDescent="0.25">
      <c r="A24" s="2" t="s">
        <v>60</v>
      </c>
      <c r="B24" s="2" t="s">
        <v>61</v>
      </c>
      <c r="C24" s="2" t="s">
        <v>62</v>
      </c>
      <c r="D24" s="2" t="s">
        <v>118</v>
      </c>
      <c r="E24" s="2" t="s">
        <v>117</v>
      </c>
      <c r="F24" s="3">
        <v>8.67</v>
      </c>
      <c r="G24" s="2">
        <v>22</v>
      </c>
      <c r="H24" s="3">
        <v>1.91</v>
      </c>
    </row>
    <row r="25" spans="1:8" x14ac:dyDescent="0.25">
      <c r="A25" s="2" t="s">
        <v>60</v>
      </c>
      <c r="B25" s="2" t="s">
        <v>61</v>
      </c>
      <c r="C25" s="2" t="s">
        <v>62</v>
      </c>
      <c r="D25" s="2" t="s">
        <v>119</v>
      </c>
      <c r="E25" s="2" t="s">
        <v>117</v>
      </c>
      <c r="F25" s="3">
        <v>2.12</v>
      </c>
      <c r="G25" s="2">
        <v>22</v>
      </c>
      <c r="H25" s="3">
        <v>0.47</v>
      </c>
    </row>
    <row r="26" spans="1:8" x14ac:dyDescent="0.25">
      <c r="E26" s="5" t="s">
        <v>55</v>
      </c>
      <c r="F26" s="6">
        <f>SUM(F2:F25)</f>
      </c>
      <c r="H26" s="6">
        <f>SUM(H2:H25)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44" customWidth="1"/>
    <col min="4" max="5" width="17" customWidth="1"/>
    <col min="6" max="6" width="20" customWidth="1"/>
    <col min="7" max="7" width="11" customWidth="1"/>
    <col min="8" max="8" width="26" customWidth="1"/>
  </cols>
  <sheetData>
    <row r="1" ht="24" customHeight="1" spans="1:8" x14ac:dyDescent="0.25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 x14ac:dyDescent="0.25">
      <c r="A2" s="2" t="s">
        <v>9</v>
      </c>
      <c r="B2" s="2" t="s">
        <v>64</v>
      </c>
      <c r="C2" s="2" t="s">
        <v>128</v>
      </c>
      <c r="D2" s="3" t="s">
        <v>12</v>
      </c>
      <c r="E2" s="3">
        <v>29.08</v>
      </c>
      <c r="F2" s="3" t="s">
        <v>12</v>
      </c>
      <c r="G2" s="2" t="s">
        <v>129</v>
      </c>
      <c r="H2" s="2" t="s">
        <v>130</v>
      </c>
    </row>
    <row r="3" spans="1:8" x14ac:dyDescent="0.25">
      <c r="A3" s="2" t="s">
        <v>9</v>
      </c>
      <c r="B3" s="2" t="s">
        <v>9</v>
      </c>
      <c r="C3" s="2" t="s">
        <v>131</v>
      </c>
      <c r="D3" s="3" t="s">
        <v>12</v>
      </c>
      <c r="E3" s="3">
        <v>20</v>
      </c>
      <c r="F3" s="3" t="s">
        <v>12</v>
      </c>
      <c r="G3" s="2" t="s">
        <v>129</v>
      </c>
      <c r="H3" s="2" t="s">
        <v>132</v>
      </c>
    </row>
    <row r="4" spans="1:8" x14ac:dyDescent="0.25">
      <c r="A4" s="2" t="s">
        <v>133</v>
      </c>
      <c r="B4" s="2" t="s">
        <v>133</v>
      </c>
      <c r="C4" s="2" t="s">
        <v>134</v>
      </c>
      <c r="D4" s="3">
        <v>28.3</v>
      </c>
      <c r="E4" s="3" t="s">
        <v>12</v>
      </c>
      <c r="F4" s="3" t="s">
        <v>12</v>
      </c>
      <c r="G4" s="2" t="s">
        <v>135</v>
      </c>
      <c r="H4" s="2" t="s">
        <v>136</v>
      </c>
    </row>
    <row r="5" spans="1:8" x14ac:dyDescent="0.25">
      <c r="A5" s="2" t="s">
        <v>137</v>
      </c>
      <c r="B5" s="2" t="s">
        <v>137</v>
      </c>
      <c r="C5" s="2" t="s">
        <v>138</v>
      </c>
      <c r="D5" s="3" t="s">
        <v>12</v>
      </c>
      <c r="E5" s="3">
        <v>25</v>
      </c>
      <c r="F5" s="3" t="s">
        <v>12</v>
      </c>
      <c r="G5" s="2" t="s">
        <v>129</v>
      </c>
      <c r="H5" s="2" t="s">
        <v>139</v>
      </c>
    </row>
    <row r="6" spans="1:8" x14ac:dyDescent="0.25">
      <c r="A6" s="2" t="s">
        <v>140</v>
      </c>
      <c r="B6" s="2" t="s">
        <v>64</v>
      </c>
      <c r="C6" s="2" t="s">
        <v>141</v>
      </c>
      <c r="D6" s="3" t="s">
        <v>12</v>
      </c>
      <c r="E6" s="3">
        <v>15.95</v>
      </c>
      <c r="F6" s="3" t="s">
        <v>12</v>
      </c>
      <c r="G6" s="2" t="s">
        <v>129</v>
      </c>
      <c r="H6" s="2" t="s">
        <v>130</v>
      </c>
    </row>
    <row r="7" spans="1:8" x14ac:dyDescent="0.25">
      <c r="A7" s="2" t="s">
        <v>140</v>
      </c>
      <c r="B7" s="2" t="s">
        <v>140</v>
      </c>
      <c r="C7" s="2" t="s">
        <v>142</v>
      </c>
      <c r="D7" s="3">
        <v>141.84</v>
      </c>
      <c r="E7" s="3" t="s">
        <v>12</v>
      </c>
      <c r="F7" s="3" t="s">
        <v>12</v>
      </c>
      <c r="G7" s="2" t="s">
        <v>135</v>
      </c>
      <c r="H7" s="2" t="s">
        <v>136</v>
      </c>
    </row>
    <row r="8" spans="1:8" x14ac:dyDescent="0.25">
      <c r="A8" s="2" t="s">
        <v>140</v>
      </c>
      <c r="B8" s="2" t="s">
        <v>140</v>
      </c>
      <c r="C8" s="2" t="s">
        <v>143</v>
      </c>
      <c r="D8" s="3">
        <v>30.09</v>
      </c>
      <c r="E8" s="3" t="s">
        <v>12</v>
      </c>
      <c r="F8" s="3" t="s">
        <v>12</v>
      </c>
      <c r="G8" s="2" t="s">
        <v>135</v>
      </c>
      <c r="H8" s="2" t="s">
        <v>136</v>
      </c>
    </row>
    <row r="9" spans="1:8" x14ac:dyDescent="0.25">
      <c r="A9" s="2" t="s">
        <v>140</v>
      </c>
      <c r="B9" s="2" t="s">
        <v>140</v>
      </c>
      <c r="C9" s="2" t="s">
        <v>144</v>
      </c>
      <c r="D9" s="3" t="s">
        <v>12</v>
      </c>
      <c r="E9" s="3">
        <v>145</v>
      </c>
      <c r="F9" s="3" t="s">
        <v>12</v>
      </c>
      <c r="G9" s="2" t="s">
        <v>129</v>
      </c>
      <c r="H9" s="2" t="s">
        <v>132</v>
      </c>
    </row>
    <row r="10" spans="1:8" x14ac:dyDescent="0.25">
      <c r="A10" s="2" t="s">
        <v>140</v>
      </c>
      <c r="B10" s="2" t="s">
        <v>140</v>
      </c>
      <c r="C10" s="2" t="s">
        <v>145</v>
      </c>
      <c r="D10" s="3" t="s">
        <v>12</v>
      </c>
      <c r="E10" s="3">
        <v>20</v>
      </c>
      <c r="F10" s="3" t="s">
        <v>12</v>
      </c>
      <c r="G10" s="2" t="s">
        <v>135</v>
      </c>
      <c r="H10" s="2" t="s">
        <v>136</v>
      </c>
    </row>
    <row r="11" spans="1:8" x14ac:dyDescent="0.25">
      <c r="A11" s="2" t="s">
        <v>69</v>
      </c>
      <c r="B11" s="2" t="s">
        <v>69</v>
      </c>
      <c r="C11" s="2" t="s">
        <v>146</v>
      </c>
      <c r="D11" s="3" t="s">
        <v>12</v>
      </c>
      <c r="E11" s="3">
        <v>126.62</v>
      </c>
      <c r="F11" s="3" t="s">
        <v>12</v>
      </c>
      <c r="G11" s="2" t="s">
        <v>135</v>
      </c>
      <c r="H11" s="2" t="s">
        <v>136</v>
      </c>
    </row>
    <row r="12" spans="1:8" x14ac:dyDescent="0.25">
      <c r="A12" s="2" t="s">
        <v>147</v>
      </c>
      <c r="B12" s="2" t="s">
        <v>147</v>
      </c>
      <c r="C12" s="2" t="s">
        <v>148</v>
      </c>
      <c r="D12" s="3" t="s">
        <v>12</v>
      </c>
      <c r="E12" s="3">
        <v>10</v>
      </c>
      <c r="F12" s="3" t="s">
        <v>12</v>
      </c>
      <c r="G12" s="2" t="s">
        <v>129</v>
      </c>
      <c r="H12" s="2" t="s">
        <v>149</v>
      </c>
    </row>
    <row r="13" spans="1:8" x14ac:dyDescent="0.25">
      <c r="A13" s="2" t="s">
        <v>147</v>
      </c>
      <c r="B13" s="2" t="s">
        <v>147</v>
      </c>
      <c r="C13" s="2" t="s">
        <v>150</v>
      </c>
      <c r="D13" s="3">
        <v>0.32</v>
      </c>
      <c r="E13" s="3" t="s">
        <v>12</v>
      </c>
      <c r="F13" s="3" t="s">
        <v>12</v>
      </c>
      <c r="G13" s="2" t="s">
        <v>135</v>
      </c>
      <c r="H13" s="2" t="s">
        <v>136</v>
      </c>
    </row>
    <row r="14" spans="1:8" x14ac:dyDescent="0.25">
      <c r="A14" s="2" t="s">
        <v>151</v>
      </c>
      <c r="B14" s="2" t="s">
        <v>151</v>
      </c>
      <c r="C14" s="2" t="s">
        <v>152</v>
      </c>
      <c r="D14" s="3" t="s">
        <v>12</v>
      </c>
      <c r="E14" s="3">
        <v>10</v>
      </c>
      <c r="F14" s="3" t="s">
        <v>12</v>
      </c>
      <c r="G14" s="2" t="s">
        <v>129</v>
      </c>
      <c r="H14" s="2" t="s">
        <v>149</v>
      </c>
    </row>
    <row r="15" spans="1:8" x14ac:dyDescent="0.25">
      <c r="A15" s="2" t="s">
        <v>14</v>
      </c>
      <c r="B15" s="2" t="s">
        <v>14</v>
      </c>
      <c r="C15" s="2" t="s">
        <v>153</v>
      </c>
      <c r="D15" s="3" t="s">
        <v>12</v>
      </c>
      <c r="E15" s="3">
        <v>20</v>
      </c>
      <c r="F15" s="3" t="s">
        <v>12</v>
      </c>
      <c r="G15" s="2" t="s">
        <v>129</v>
      </c>
      <c r="H15" s="2" t="s">
        <v>139</v>
      </c>
    </row>
    <row r="16" spans="1:8" x14ac:dyDescent="0.25">
      <c r="A16" s="2" t="s">
        <v>16</v>
      </c>
      <c r="B16" s="2" t="s">
        <v>16</v>
      </c>
      <c r="C16" s="2" t="s">
        <v>154</v>
      </c>
      <c r="D16" s="3">
        <v>0.05</v>
      </c>
      <c r="E16" s="3" t="s">
        <v>12</v>
      </c>
      <c r="F16" s="3" t="s">
        <v>12</v>
      </c>
      <c r="G16" s="2" t="s">
        <v>135</v>
      </c>
      <c r="H16" s="2" t="s">
        <v>136</v>
      </c>
    </row>
    <row r="17" spans="1:8" x14ac:dyDescent="0.25">
      <c r="A17" s="2" t="s">
        <v>16</v>
      </c>
      <c r="B17" s="2" t="s">
        <v>16</v>
      </c>
      <c r="C17" s="2" t="s">
        <v>155</v>
      </c>
      <c r="D17" s="3" t="s">
        <v>12</v>
      </c>
      <c r="E17" s="3">
        <v>25</v>
      </c>
      <c r="F17" s="3" t="s">
        <v>12</v>
      </c>
      <c r="G17" s="2" t="s">
        <v>129</v>
      </c>
      <c r="H17" s="2" t="s">
        <v>139</v>
      </c>
    </row>
    <row r="18" spans="1:8" x14ac:dyDescent="0.25">
      <c r="A18" s="2" t="s">
        <v>156</v>
      </c>
      <c r="B18" s="2" t="s">
        <v>156</v>
      </c>
      <c r="C18" s="2" t="s">
        <v>157</v>
      </c>
      <c r="D18" s="3">
        <v>27.99</v>
      </c>
      <c r="E18" s="3" t="s">
        <v>12</v>
      </c>
      <c r="F18" s="3" t="s">
        <v>12</v>
      </c>
      <c r="G18" s="2" t="s">
        <v>135</v>
      </c>
      <c r="H18" s="2" t="s">
        <v>136</v>
      </c>
    </row>
    <row r="19" spans="1:8" x14ac:dyDescent="0.25">
      <c r="A19" s="2" t="s">
        <v>156</v>
      </c>
      <c r="B19" s="2" t="s">
        <v>156</v>
      </c>
      <c r="C19" s="2" t="s">
        <v>158</v>
      </c>
      <c r="D19" s="3" t="s">
        <v>12</v>
      </c>
      <c r="E19" s="3">
        <v>20</v>
      </c>
      <c r="F19" s="3" t="s">
        <v>12</v>
      </c>
      <c r="G19" s="2" t="s">
        <v>129</v>
      </c>
      <c r="H19" s="2" t="s">
        <v>139</v>
      </c>
    </row>
    <row r="20" spans="1:8" x14ac:dyDescent="0.25">
      <c r="A20" s="2" t="s">
        <v>73</v>
      </c>
      <c r="B20" s="2" t="s">
        <v>73</v>
      </c>
      <c r="C20" s="2" t="s">
        <v>159</v>
      </c>
      <c r="D20" s="3" t="s">
        <v>12</v>
      </c>
      <c r="E20" s="3">
        <v>18</v>
      </c>
      <c r="F20" s="3" t="s">
        <v>12</v>
      </c>
      <c r="G20" s="2" t="s">
        <v>135</v>
      </c>
      <c r="H20" s="2" t="s">
        <v>136</v>
      </c>
    </row>
    <row r="21" spans="1:8" x14ac:dyDescent="0.25">
      <c r="A21" s="2" t="s">
        <v>160</v>
      </c>
      <c r="B21" s="2" t="s">
        <v>160</v>
      </c>
      <c r="C21" s="2" t="s">
        <v>161</v>
      </c>
      <c r="D21" s="3">
        <v>38.72</v>
      </c>
      <c r="E21" s="3" t="s">
        <v>12</v>
      </c>
      <c r="F21" s="3" t="s">
        <v>12</v>
      </c>
      <c r="G21" s="2" t="s">
        <v>135</v>
      </c>
      <c r="H21" s="2" t="s">
        <v>136</v>
      </c>
    </row>
    <row r="22" spans="1:8" x14ac:dyDescent="0.25">
      <c r="A22" s="2" t="s">
        <v>20</v>
      </c>
      <c r="B22" s="2" t="s">
        <v>20</v>
      </c>
      <c r="C22" s="2" t="s">
        <v>162</v>
      </c>
      <c r="D22" s="3">
        <v>35.6</v>
      </c>
      <c r="E22" s="3" t="s">
        <v>12</v>
      </c>
      <c r="F22" s="3" t="s">
        <v>12</v>
      </c>
      <c r="G22" s="2" t="s">
        <v>135</v>
      </c>
      <c r="H22" s="2" t="s">
        <v>136</v>
      </c>
    </row>
    <row r="23" spans="1:8" x14ac:dyDescent="0.25">
      <c r="A23" s="2" t="s">
        <v>22</v>
      </c>
      <c r="B23" s="2" t="s">
        <v>22</v>
      </c>
      <c r="C23" s="2" t="s">
        <v>163</v>
      </c>
      <c r="D23" s="3" t="s">
        <v>12</v>
      </c>
      <c r="E23" s="3">
        <v>33</v>
      </c>
      <c r="F23" s="3" t="s">
        <v>12</v>
      </c>
      <c r="G23" s="2" t="s">
        <v>129</v>
      </c>
      <c r="H23" s="2" t="s">
        <v>139</v>
      </c>
    </row>
    <row r="24" spans="1:8" x14ac:dyDescent="0.25">
      <c r="A24" s="2" t="s">
        <v>24</v>
      </c>
      <c r="B24" s="2" t="s">
        <v>24</v>
      </c>
      <c r="C24" s="2" t="s">
        <v>164</v>
      </c>
      <c r="D24" s="3" t="s">
        <v>12</v>
      </c>
      <c r="E24" s="3">
        <v>6.09</v>
      </c>
      <c r="F24" s="3" t="s">
        <v>12</v>
      </c>
      <c r="G24" s="2" t="s">
        <v>129</v>
      </c>
      <c r="H24" s="2" t="s">
        <v>139</v>
      </c>
    </row>
    <row r="25" spans="1:8" x14ac:dyDescent="0.25">
      <c r="A25" s="2" t="s">
        <v>24</v>
      </c>
      <c r="B25" s="2" t="s">
        <v>24</v>
      </c>
      <c r="C25" s="2" t="s">
        <v>165</v>
      </c>
      <c r="D25" s="3" t="s">
        <v>12</v>
      </c>
      <c r="E25" s="3">
        <v>61</v>
      </c>
      <c r="F25" s="3" t="s">
        <v>12</v>
      </c>
      <c r="G25" s="2" t="s">
        <v>129</v>
      </c>
      <c r="H25" s="2" t="s">
        <v>139</v>
      </c>
    </row>
    <row r="26" spans="1:8" x14ac:dyDescent="0.25">
      <c r="A26" s="2" t="s">
        <v>24</v>
      </c>
      <c r="B26" s="2" t="s">
        <v>24</v>
      </c>
      <c r="C26" s="2" t="s">
        <v>166</v>
      </c>
      <c r="D26" s="3" t="s">
        <v>12</v>
      </c>
      <c r="E26" s="3">
        <v>73.19</v>
      </c>
      <c r="F26" s="3" t="s">
        <v>12</v>
      </c>
      <c r="G26" s="2" t="s">
        <v>129</v>
      </c>
      <c r="H26" s="2" t="s">
        <v>139</v>
      </c>
    </row>
    <row r="27" spans="1:8" x14ac:dyDescent="0.25">
      <c r="A27" s="2" t="s">
        <v>81</v>
      </c>
      <c r="B27" s="2" t="s">
        <v>81</v>
      </c>
      <c r="C27" s="2" t="s">
        <v>167</v>
      </c>
      <c r="D27" s="3">
        <v>38.94</v>
      </c>
      <c r="E27" s="3" t="s">
        <v>12</v>
      </c>
      <c r="F27" s="3" t="s">
        <v>12</v>
      </c>
      <c r="G27" s="2" t="s">
        <v>135</v>
      </c>
      <c r="H27" s="2" t="s">
        <v>136</v>
      </c>
    </row>
    <row r="28" spans="1:8" x14ac:dyDescent="0.25">
      <c r="A28" s="2" t="s">
        <v>88</v>
      </c>
      <c r="B28" s="2" t="s">
        <v>88</v>
      </c>
      <c r="C28" s="2" t="s">
        <v>168</v>
      </c>
      <c r="D28" s="3" t="s">
        <v>12</v>
      </c>
      <c r="E28" s="3">
        <v>25</v>
      </c>
      <c r="F28" s="3" t="s">
        <v>12</v>
      </c>
      <c r="G28" s="2" t="s">
        <v>129</v>
      </c>
      <c r="H28" s="2" t="s">
        <v>139</v>
      </c>
    </row>
    <row r="29" spans="1:8" x14ac:dyDescent="0.25">
      <c r="A29" s="2" t="s">
        <v>169</v>
      </c>
      <c r="B29" s="2" t="s">
        <v>169</v>
      </c>
      <c r="C29" s="2" t="s">
        <v>170</v>
      </c>
      <c r="D29" s="3">
        <v>53.64</v>
      </c>
      <c r="E29" s="3" t="s">
        <v>12</v>
      </c>
      <c r="F29" s="3" t="s">
        <v>12</v>
      </c>
      <c r="G29" s="2" t="s">
        <v>129</v>
      </c>
      <c r="H29" s="2" t="s">
        <v>171</v>
      </c>
    </row>
    <row r="30" spans="1:8" x14ac:dyDescent="0.25">
      <c r="A30" s="2" t="s">
        <v>169</v>
      </c>
      <c r="B30" s="2" t="s">
        <v>169</v>
      </c>
      <c r="C30" s="2" t="s">
        <v>172</v>
      </c>
      <c r="D30" s="3">
        <v>53.56</v>
      </c>
      <c r="E30" s="3" t="s">
        <v>12</v>
      </c>
      <c r="F30" s="3" t="s">
        <v>12</v>
      </c>
      <c r="G30" s="2" t="s">
        <v>135</v>
      </c>
      <c r="H30" s="2" t="s">
        <v>136</v>
      </c>
    </row>
    <row r="31" spans="1:8" x14ac:dyDescent="0.25">
      <c r="A31" s="2" t="s">
        <v>169</v>
      </c>
      <c r="B31" s="2" t="s">
        <v>169</v>
      </c>
      <c r="C31" s="2" t="s">
        <v>173</v>
      </c>
      <c r="D31" s="3" t="s">
        <v>12</v>
      </c>
      <c r="E31" s="3">
        <v>20</v>
      </c>
      <c r="F31" s="3" t="s">
        <v>12</v>
      </c>
      <c r="G31" s="2" t="s">
        <v>129</v>
      </c>
      <c r="H31" s="2" t="s">
        <v>139</v>
      </c>
    </row>
    <row r="32" spans="1:8" x14ac:dyDescent="0.25">
      <c r="A32" s="2" t="s">
        <v>90</v>
      </c>
      <c r="B32" s="2" t="s">
        <v>81</v>
      </c>
      <c r="C32" s="2" t="s">
        <v>174</v>
      </c>
      <c r="D32" s="3" t="s">
        <v>12</v>
      </c>
      <c r="E32" s="3">
        <v>15.95</v>
      </c>
      <c r="F32" s="3" t="s">
        <v>12</v>
      </c>
      <c r="G32" s="2" t="s">
        <v>129</v>
      </c>
      <c r="H32" s="2" t="s">
        <v>130</v>
      </c>
    </row>
    <row r="33" spans="1:8" x14ac:dyDescent="0.25">
      <c r="A33" s="2" t="s">
        <v>90</v>
      </c>
      <c r="B33" s="2" t="s">
        <v>90</v>
      </c>
      <c r="C33" s="2" t="s">
        <v>175</v>
      </c>
      <c r="D33" s="3" t="s">
        <v>12</v>
      </c>
      <c r="E33" s="3">
        <v>20</v>
      </c>
      <c r="F33" s="3" t="s">
        <v>12</v>
      </c>
      <c r="G33" s="2" t="s">
        <v>129</v>
      </c>
      <c r="H33" s="2" t="s">
        <v>139</v>
      </c>
    </row>
    <row r="34" spans="1:8" x14ac:dyDescent="0.25">
      <c r="A34" s="2" t="s">
        <v>90</v>
      </c>
      <c r="B34" s="2" t="s">
        <v>90</v>
      </c>
      <c r="C34" s="2" t="s">
        <v>176</v>
      </c>
      <c r="D34" s="3">
        <v>44.8</v>
      </c>
      <c r="E34" s="3" t="s">
        <v>12</v>
      </c>
      <c r="F34" s="3" t="s">
        <v>12</v>
      </c>
      <c r="G34" s="2" t="s">
        <v>135</v>
      </c>
      <c r="H34" s="2" t="s">
        <v>136</v>
      </c>
    </row>
    <row r="35" spans="1:8" x14ac:dyDescent="0.25">
      <c r="A35" s="2" t="s">
        <v>93</v>
      </c>
      <c r="B35" s="2" t="s">
        <v>93</v>
      </c>
      <c r="C35" s="2" t="s">
        <v>177</v>
      </c>
      <c r="D35" s="3" t="s">
        <v>12</v>
      </c>
      <c r="E35" s="3">
        <v>50</v>
      </c>
      <c r="F35" s="3" t="s">
        <v>12</v>
      </c>
      <c r="G35" s="2" t="s">
        <v>135</v>
      </c>
      <c r="H35" s="2" t="s">
        <v>178</v>
      </c>
    </row>
    <row r="36" spans="1:8" x14ac:dyDescent="0.25">
      <c r="A36" s="2" t="s">
        <v>179</v>
      </c>
      <c r="B36" s="2" t="s">
        <v>179</v>
      </c>
      <c r="C36" s="2" t="s">
        <v>180</v>
      </c>
      <c r="D36" s="3">
        <v>278.75</v>
      </c>
      <c r="E36" s="3" t="s">
        <v>12</v>
      </c>
      <c r="F36" s="3" t="s">
        <v>12</v>
      </c>
      <c r="G36" s="2" t="s">
        <v>135</v>
      </c>
      <c r="H36" s="2" t="s">
        <v>136</v>
      </c>
    </row>
    <row r="37" spans="1:8" x14ac:dyDescent="0.25">
      <c r="A37" s="2" t="s">
        <v>181</v>
      </c>
      <c r="B37" s="2" t="s">
        <v>181</v>
      </c>
      <c r="C37" s="2" t="s">
        <v>182</v>
      </c>
      <c r="D37" s="3" t="s">
        <v>12</v>
      </c>
      <c r="E37" s="3">
        <v>20</v>
      </c>
      <c r="F37" s="3" t="s">
        <v>12</v>
      </c>
      <c r="G37" s="2" t="s">
        <v>129</v>
      </c>
      <c r="H37" s="2" t="s">
        <v>139</v>
      </c>
    </row>
    <row r="38" spans="1:8" x14ac:dyDescent="0.25">
      <c r="A38" s="2" t="s">
        <v>30</v>
      </c>
      <c r="B38" s="2" t="s">
        <v>30</v>
      </c>
      <c r="C38" s="2" t="s">
        <v>183</v>
      </c>
      <c r="D38" s="3">
        <v>3.45</v>
      </c>
      <c r="E38" s="3" t="s">
        <v>12</v>
      </c>
      <c r="F38" s="3" t="s">
        <v>12</v>
      </c>
      <c r="G38" s="2" t="s">
        <v>135</v>
      </c>
      <c r="H38" s="2" t="s">
        <v>136</v>
      </c>
    </row>
    <row r="39" spans="1:8" x14ac:dyDescent="0.25">
      <c r="A39" s="2" t="s">
        <v>184</v>
      </c>
      <c r="B39" s="2" t="s">
        <v>184</v>
      </c>
      <c r="C39" s="2" t="s">
        <v>185</v>
      </c>
      <c r="D39" s="3" t="s">
        <v>12</v>
      </c>
      <c r="E39" s="3">
        <v>30</v>
      </c>
      <c r="F39" s="3" t="s">
        <v>12</v>
      </c>
      <c r="G39" s="2" t="s">
        <v>129</v>
      </c>
      <c r="H39" s="2" t="s">
        <v>139</v>
      </c>
    </row>
    <row r="40" spans="1:8" x14ac:dyDescent="0.25">
      <c r="A40" s="2" t="s">
        <v>186</v>
      </c>
      <c r="B40" s="2" t="s">
        <v>186</v>
      </c>
      <c r="C40" s="2" t="s">
        <v>187</v>
      </c>
      <c r="D40" s="3">
        <v>48.48</v>
      </c>
      <c r="E40" s="3" t="s">
        <v>12</v>
      </c>
      <c r="F40" s="3" t="s">
        <v>12</v>
      </c>
      <c r="G40" s="2" t="s">
        <v>135</v>
      </c>
      <c r="H40" s="2" t="s">
        <v>136</v>
      </c>
    </row>
    <row r="41" spans="1:8" x14ac:dyDescent="0.25">
      <c r="A41" s="2" t="s">
        <v>188</v>
      </c>
      <c r="B41" s="2" t="s">
        <v>188</v>
      </c>
      <c r="C41" s="2" t="s">
        <v>189</v>
      </c>
      <c r="D41" s="3" t="s">
        <v>12</v>
      </c>
      <c r="E41" s="3">
        <v>25</v>
      </c>
      <c r="F41" s="3" t="s">
        <v>12</v>
      </c>
      <c r="G41" s="2" t="s">
        <v>129</v>
      </c>
      <c r="H41" s="2" t="s">
        <v>139</v>
      </c>
    </row>
    <row r="42" spans="1:8" x14ac:dyDescent="0.25">
      <c r="A42" s="2" t="s">
        <v>188</v>
      </c>
      <c r="B42" s="2" t="s">
        <v>188</v>
      </c>
      <c r="C42" s="2" t="s">
        <v>190</v>
      </c>
      <c r="D42" s="3" t="s">
        <v>12</v>
      </c>
      <c r="E42" s="3">
        <v>20</v>
      </c>
      <c r="F42" s="3" t="s">
        <v>12</v>
      </c>
      <c r="G42" s="2" t="s">
        <v>129</v>
      </c>
      <c r="H42" s="2" t="s">
        <v>139</v>
      </c>
    </row>
    <row r="43" spans="1:8" x14ac:dyDescent="0.25">
      <c r="A43" s="2" t="s">
        <v>191</v>
      </c>
      <c r="B43" s="2" t="s">
        <v>191</v>
      </c>
      <c r="C43" s="2" t="s">
        <v>192</v>
      </c>
      <c r="D43" s="3" t="s">
        <v>12</v>
      </c>
      <c r="E43" s="3">
        <v>18</v>
      </c>
      <c r="F43" s="3" t="s">
        <v>12</v>
      </c>
      <c r="G43" s="2" t="s">
        <v>135</v>
      </c>
      <c r="H43" s="2" t="s">
        <v>136</v>
      </c>
    </row>
    <row r="44" spans="1:8" x14ac:dyDescent="0.25">
      <c r="A44" s="2" t="s">
        <v>42</v>
      </c>
      <c r="B44" s="2" t="s">
        <v>42</v>
      </c>
      <c r="C44" s="2" t="s">
        <v>193</v>
      </c>
      <c r="D44" s="3">
        <v>23.19</v>
      </c>
      <c r="E44" s="3" t="s">
        <v>12</v>
      </c>
      <c r="F44" s="3" t="s">
        <v>12</v>
      </c>
      <c r="G44" s="2" t="s">
        <v>129</v>
      </c>
      <c r="H44" s="2" t="s">
        <v>171</v>
      </c>
    </row>
    <row r="45" spans="1:8" x14ac:dyDescent="0.25">
      <c r="A45" s="2" t="s">
        <v>97</v>
      </c>
      <c r="B45" s="2" t="s">
        <v>97</v>
      </c>
      <c r="C45" s="2" t="s">
        <v>194</v>
      </c>
      <c r="D45" s="3" t="s">
        <v>12</v>
      </c>
      <c r="E45" s="3">
        <v>21.99</v>
      </c>
      <c r="F45" s="3" t="s">
        <v>12</v>
      </c>
      <c r="G45" s="2" t="s">
        <v>135</v>
      </c>
      <c r="H45" s="2" t="s">
        <v>178</v>
      </c>
    </row>
    <row r="46" spans="1:8" x14ac:dyDescent="0.25">
      <c r="A46" s="2" t="s">
        <v>97</v>
      </c>
      <c r="B46" s="2" t="s">
        <v>97</v>
      </c>
      <c r="C46" s="2" t="s">
        <v>195</v>
      </c>
      <c r="D46" s="3" t="s">
        <v>12</v>
      </c>
      <c r="E46" s="3">
        <v>30</v>
      </c>
      <c r="F46" s="3" t="s">
        <v>12</v>
      </c>
      <c r="G46" s="2" t="s">
        <v>129</v>
      </c>
      <c r="H46" s="2" t="s">
        <v>139</v>
      </c>
    </row>
    <row r="47" spans="1:8" x14ac:dyDescent="0.25">
      <c r="A47" s="2" t="s">
        <v>97</v>
      </c>
      <c r="B47" s="2" t="s">
        <v>97</v>
      </c>
      <c r="C47" s="2" t="s">
        <v>196</v>
      </c>
      <c r="D47" s="3" t="s">
        <v>12</v>
      </c>
      <c r="E47" s="3">
        <v>40</v>
      </c>
      <c r="F47" s="3" t="s">
        <v>12</v>
      </c>
      <c r="G47" s="2" t="s">
        <v>129</v>
      </c>
      <c r="H47" s="2" t="s">
        <v>139</v>
      </c>
    </row>
    <row r="48" spans="1:8" x14ac:dyDescent="0.25">
      <c r="A48" s="2" t="s">
        <v>97</v>
      </c>
      <c r="B48" s="2" t="s">
        <v>97</v>
      </c>
      <c r="C48" s="2" t="s">
        <v>197</v>
      </c>
      <c r="D48" s="3" t="s">
        <v>12</v>
      </c>
      <c r="E48" s="3">
        <v>20</v>
      </c>
      <c r="F48" s="3" t="s">
        <v>12</v>
      </c>
      <c r="G48" s="2" t="s">
        <v>129</v>
      </c>
      <c r="H48" s="2" t="s">
        <v>149</v>
      </c>
    </row>
    <row r="49" spans="1:8" x14ac:dyDescent="0.25">
      <c r="A49" s="2" t="s">
        <v>198</v>
      </c>
      <c r="B49" s="2" t="s">
        <v>198</v>
      </c>
      <c r="C49" s="2" t="s">
        <v>199</v>
      </c>
      <c r="D49" s="3">
        <v>30.87</v>
      </c>
      <c r="E49" s="3" t="s">
        <v>12</v>
      </c>
      <c r="F49" s="3" t="s">
        <v>12</v>
      </c>
      <c r="G49" s="2" t="s">
        <v>129</v>
      </c>
      <c r="H49" s="2" t="s">
        <v>171</v>
      </c>
    </row>
    <row r="50" spans="1:8" x14ac:dyDescent="0.25">
      <c r="A50" s="2" t="s">
        <v>198</v>
      </c>
      <c r="B50" s="2" t="s">
        <v>198</v>
      </c>
      <c r="C50" s="2" t="s">
        <v>200</v>
      </c>
      <c r="D50" s="3">
        <v>82.63</v>
      </c>
      <c r="E50" s="3" t="s">
        <v>12</v>
      </c>
      <c r="F50" s="3" t="s">
        <v>12</v>
      </c>
      <c r="G50" s="2" t="s">
        <v>135</v>
      </c>
      <c r="H50" s="2" t="s">
        <v>136</v>
      </c>
    </row>
    <row r="51" spans="1:8" x14ac:dyDescent="0.25">
      <c r="A51" s="2" t="s">
        <v>201</v>
      </c>
      <c r="B51" s="2" t="s">
        <v>201</v>
      </c>
      <c r="C51" s="2" t="s">
        <v>202</v>
      </c>
      <c r="D51" s="3" t="s">
        <v>12</v>
      </c>
      <c r="E51" s="3">
        <v>5</v>
      </c>
      <c r="F51" s="3" t="s">
        <v>12</v>
      </c>
      <c r="G51" s="2" t="s">
        <v>129</v>
      </c>
      <c r="H51" s="2" t="s">
        <v>203</v>
      </c>
    </row>
    <row r="52" spans="1:8" x14ac:dyDescent="0.25">
      <c r="A52" s="2" t="s">
        <v>100</v>
      </c>
      <c r="B52" s="2" t="s">
        <v>100</v>
      </c>
      <c r="C52" s="2" t="s">
        <v>204</v>
      </c>
      <c r="D52" s="3" t="s">
        <v>12</v>
      </c>
      <c r="E52" s="3">
        <v>40</v>
      </c>
      <c r="F52" s="3" t="s">
        <v>12</v>
      </c>
      <c r="G52" s="2" t="s">
        <v>129</v>
      </c>
      <c r="H52" s="2" t="s">
        <v>139</v>
      </c>
    </row>
    <row r="53" spans="1:8" x14ac:dyDescent="0.25">
      <c r="A53" s="2" t="s">
        <v>205</v>
      </c>
      <c r="B53" s="2" t="s">
        <v>205</v>
      </c>
      <c r="C53" s="2" t="s">
        <v>206</v>
      </c>
      <c r="D53" s="3">
        <v>5.15</v>
      </c>
      <c r="E53" s="3" t="s">
        <v>12</v>
      </c>
      <c r="F53" s="3" t="s">
        <v>12</v>
      </c>
      <c r="G53" s="2" t="s">
        <v>135</v>
      </c>
      <c r="H53" s="2" t="s">
        <v>136</v>
      </c>
    </row>
    <row r="54" spans="1:8" x14ac:dyDescent="0.25">
      <c r="A54" s="2" t="s">
        <v>207</v>
      </c>
      <c r="B54" s="2" t="s">
        <v>207</v>
      </c>
      <c r="C54" s="2" t="s">
        <v>208</v>
      </c>
      <c r="D54" s="3" t="s">
        <v>12</v>
      </c>
      <c r="E54" s="3">
        <v>20</v>
      </c>
      <c r="F54" s="3" t="s">
        <v>12</v>
      </c>
      <c r="G54" s="2" t="s">
        <v>129</v>
      </c>
      <c r="H54" s="2" t="s">
        <v>139</v>
      </c>
    </row>
    <row r="55" spans="1:8" x14ac:dyDescent="0.25">
      <c r="A55" s="2" t="s">
        <v>44</v>
      </c>
      <c r="B55" s="2" t="s">
        <v>100</v>
      </c>
      <c r="C55" s="2" t="s">
        <v>209</v>
      </c>
      <c r="D55" s="3" t="s">
        <v>12</v>
      </c>
      <c r="E55" s="3">
        <v>15.95</v>
      </c>
      <c r="F55" s="3" t="s">
        <v>12</v>
      </c>
      <c r="G55" s="2" t="s">
        <v>129</v>
      </c>
      <c r="H55" s="2" t="s">
        <v>130</v>
      </c>
    </row>
    <row r="56" spans="1:8" x14ac:dyDescent="0.25">
      <c r="A56" s="2" t="s">
        <v>210</v>
      </c>
      <c r="B56" s="2" t="s">
        <v>210</v>
      </c>
      <c r="C56" s="2" t="s">
        <v>211</v>
      </c>
      <c r="D56" s="3">
        <v>4.27</v>
      </c>
      <c r="E56" s="3" t="s">
        <v>12</v>
      </c>
      <c r="F56" s="3" t="s">
        <v>12</v>
      </c>
      <c r="G56" s="2" t="s">
        <v>135</v>
      </c>
      <c r="H56" s="2" t="s">
        <v>136</v>
      </c>
    </row>
    <row r="57" spans="1:8" x14ac:dyDescent="0.25">
      <c r="A57" s="2" t="s">
        <v>212</v>
      </c>
      <c r="B57" s="2" t="s">
        <v>212</v>
      </c>
      <c r="C57" s="2" t="s">
        <v>213</v>
      </c>
      <c r="D57" s="3" t="s">
        <v>12</v>
      </c>
      <c r="E57" s="3">
        <v>20</v>
      </c>
      <c r="F57" s="3" t="s">
        <v>12</v>
      </c>
      <c r="G57" s="2" t="s">
        <v>129</v>
      </c>
      <c r="H57" s="2" t="s">
        <v>149</v>
      </c>
    </row>
    <row r="58" spans="1:8" x14ac:dyDescent="0.25">
      <c r="A58" s="2" t="s">
        <v>214</v>
      </c>
      <c r="B58" s="2" t="s">
        <v>214</v>
      </c>
      <c r="C58" s="2" t="s">
        <v>215</v>
      </c>
      <c r="D58" s="3" t="s">
        <v>12</v>
      </c>
      <c r="E58" s="3">
        <v>20</v>
      </c>
      <c r="F58" s="3" t="s">
        <v>12</v>
      </c>
      <c r="G58" s="2" t="s">
        <v>129</v>
      </c>
      <c r="H58" s="2" t="s">
        <v>149</v>
      </c>
    </row>
    <row r="59" spans="1:8" x14ac:dyDescent="0.25">
      <c r="A59" s="2" t="s">
        <v>214</v>
      </c>
      <c r="B59" s="2" t="s">
        <v>214</v>
      </c>
      <c r="C59" s="2" t="s">
        <v>216</v>
      </c>
      <c r="D59" s="3">
        <v>87.72</v>
      </c>
      <c r="E59" s="3" t="s">
        <v>12</v>
      </c>
      <c r="F59" s="3" t="s">
        <v>12</v>
      </c>
      <c r="G59" s="2" t="s">
        <v>135</v>
      </c>
      <c r="H59" s="2" t="s">
        <v>136</v>
      </c>
    </row>
    <row r="60" spans="1:8" x14ac:dyDescent="0.25">
      <c r="A60" s="2" t="s">
        <v>217</v>
      </c>
      <c r="B60" s="2" t="s">
        <v>217</v>
      </c>
      <c r="C60" s="2" t="s">
        <v>218</v>
      </c>
      <c r="D60" s="3">
        <v>19.31</v>
      </c>
      <c r="E60" s="3" t="s">
        <v>12</v>
      </c>
      <c r="F60" s="3" t="s">
        <v>12</v>
      </c>
      <c r="G60" s="2" t="s">
        <v>135</v>
      </c>
      <c r="H60" s="2" t="s">
        <v>136</v>
      </c>
    </row>
    <row r="61" spans="1:8" x14ac:dyDescent="0.25">
      <c r="A61" s="2" t="s">
        <v>217</v>
      </c>
      <c r="B61" s="2" t="s">
        <v>217</v>
      </c>
      <c r="C61" s="2" t="s">
        <v>219</v>
      </c>
      <c r="D61" s="3" t="s">
        <v>12</v>
      </c>
      <c r="E61" s="3">
        <v>25</v>
      </c>
      <c r="F61" s="3" t="s">
        <v>12</v>
      </c>
      <c r="G61" s="2" t="s">
        <v>129</v>
      </c>
      <c r="H61" s="2" t="s">
        <v>136</v>
      </c>
    </row>
    <row r="62" spans="1:8" x14ac:dyDescent="0.25">
      <c r="A62" s="2" t="s">
        <v>48</v>
      </c>
      <c r="B62" s="2" t="s">
        <v>48</v>
      </c>
      <c r="C62" s="2" t="s">
        <v>220</v>
      </c>
      <c r="D62" s="3" t="s">
        <v>12</v>
      </c>
      <c r="E62" s="3">
        <v>25</v>
      </c>
      <c r="F62" s="3" t="s">
        <v>12</v>
      </c>
      <c r="G62" s="2" t="s">
        <v>129</v>
      </c>
      <c r="H62" s="2" t="s">
        <v>149</v>
      </c>
    </row>
    <row r="63" spans="1:8" x14ac:dyDescent="0.25">
      <c r="A63" s="2" t="s">
        <v>48</v>
      </c>
      <c r="B63" s="2" t="s">
        <v>48</v>
      </c>
      <c r="C63" s="2" t="s">
        <v>221</v>
      </c>
      <c r="D63" s="3" t="s">
        <v>12</v>
      </c>
      <c r="E63" s="3">
        <v>30</v>
      </c>
      <c r="F63" s="3" t="s">
        <v>12</v>
      </c>
      <c r="G63" s="2" t="s">
        <v>129</v>
      </c>
      <c r="H63" s="2" t="s">
        <v>149</v>
      </c>
    </row>
    <row r="64" spans="1:8" x14ac:dyDescent="0.25">
      <c r="A64" s="2" t="s">
        <v>222</v>
      </c>
      <c r="B64" s="2" t="s">
        <v>222</v>
      </c>
      <c r="C64" s="2" t="s">
        <v>223</v>
      </c>
      <c r="D64" s="3">
        <v>41.99</v>
      </c>
      <c r="E64" s="3" t="s">
        <v>12</v>
      </c>
      <c r="F64" s="3" t="s">
        <v>12</v>
      </c>
      <c r="G64" s="2" t="s">
        <v>129</v>
      </c>
      <c r="H64" s="2" t="s">
        <v>171</v>
      </c>
    </row>
    <row r="65" spans="1:8" x14ac:dyDescent="0.25">
      <c r="A65" s="2" t="s">
        <v>115</v>
      </c>
      <c r="B65" s="2" t="s">
        <v>115</v>
      </c>
      <c r="C65" s="2" t="s">
        <v>224</v>
      </c>
      <c r="D65" s="3" t="s">
        <v>12</v>
      </c>
      <c r="E65" s="3">
        <v>0.99</v>
      </c>
      <c r="F65" s="3" t="s">
        <v>12</v>
      </c>
      <c r="G65" s="2" t="s">
        <v>135</v>
      </c>
      <c r="H65" s="2" t="s">
        <v>178</v>
      </c>
    </row>
    <row r="66" spans="1:8" x14ac:dyDescent="0.25">
      <c r="A66" s="2" t="s">
        <v>115</v>
      </c>
      <c r="B66" s="2" t="s">
        <v>115</v>
      </c>
      <c r="C66" s="2" t="s">
        <v>225</v>
      </c>
      <c r="D66" s="3">
        <v>48.1</v>
      </c>
      <c r="E66" s="3" t="s">
        <v>12</v>
      </c>
      <c r="F66" s="3" t="s">
        <v>12</v>
      </c>
      <c r="G66" s="2" t="s">
        <v>135</v>
      </c>
      <c r="H66" s="2" t="s">
        <v>136</v>
      </c>
    </row>
    <row r="67" spans="1:8" x14ac:dyDescent="0.25">
      <c r="A67" s="2" t="s">
        <v>115</v>
      </c>
      <c r="B67" s="2" t="s">
        <v>115</v>
      </c>
      <c r="C67" s="2" t="s">
        <v>226</v>
      </c>
      <c r="D67" s="3" t="s">
        <v>12</v>
      </c>
      <c r="E67" s="3">
        <v>20</v>
      </c>
      <c r="F67" s="3" t="s">
        <v>12</v>
      </c>
      <c r="G67" s="2" t="s">
        <v>129</v>
      </c>
      <c r="H67" s="2" t="s">
        <v>149</v>
      </c>
    </row>
    <row r="68" spans="1:8" x14ac:dyDescent="0.25">
      <c r="A68" s="2" t="s">
        <v>53</v>
      </c>
      <c r="B68" s="2" t="s">
        <v>53</v>
      </c>
      <c r="C68" s="2" t="s">
        <v>227</v>
      </c>
      <c r="D68" s="3">
        <v>59.8</v>
      </c>
      <c r="E68" s="3" t="s">
        <v>12</v>
      </c>
      <c r="F68" s="3" t="s">
        <v>12</v>
      </c>
      <c r="G68" s="2" t="s">
        <v>129</v>
      </c>
      <c r="H68" s="2" t="s">
        <v>171</v>
      </c>
    </row>
    <row r="69" spans="1:8" x14ac:dyDescent="0.25">
      <c r="A69" s="2" t="s">
        <v>53</v>
      </c>
      <c r="B69" s="2" t="s">
        <v>53</v>
      </c>
      <c r="C69" s="2" t="s">
        <v>228</v>
      </c>
      <c r="D69" s="3">
        <v>0.22</v>
      </c>
      <c r="E69" s="3" t="s">
        <v>12</v>
      </c>
      <c r="F69" s="3" t="s">
        <v>12</v>
      </c>
      <c r="G69" s="2" t="s">
        <v>135</v>
      </c>
      <c r="H69" s="2" t="s">
        <v>136</v>
      </c>
    </row>
    <row r="70" spans="1:8" x14ac:dyDescent="0.25">
      <c r="A70" s="2" t="s">
        <v>53</v>
      </c>
      <c r="B70" s="2" t="s">
        <v>53</v>
      </c>
      <c r="C70" s="2" t="s">
        <v>229</v>
      </c>
      <c r="D70" s="3" t="s">
        <v>12</v>
      </c>
      <c r="E70" s="3">
        <v>40</v>
      </c>
      <c r="F70" s="3" t="s">
        <v>12</v>
      </c>
      <c r="G70" s="2" t="s">
        <v>129</v>
      </c>
      <c r="H70" s="2" t="s">
        <v>149</v>
      </c>
    </row>
    <row r="71" spans="1:8" x14ac:dyDescent="0.25">
      <c r="A71" s="2" t="s">
        <v>53</v>
      </c>
      <c r="B71" s="2" t="s">
        <v>53</v>
      </c>
      <c r="C71" s="2" t="s">
        <v>230</v>
      </c>
      <c r="D71" s="3" t="s">
        <v>12</v>
      </c>
      <c r="E71" s="3">
        <v>18</v>
      </c>
      <c r="F71" s="3" t="s">
        <v>12</v>
      </c>
      <c r="G71" s="2" t="s">
        <v>135</v>
      </c>
      <c r="H71" s="2" t="s">
        <v>136</v>
      </c>
    </row>
    <row r="72" spans="1:8" x14ac:dyDescent="0.25">
      <c r="A72" s="2" t="s">
        <v>231</v>
      </c>
      <c r="B72" s="2" t="s">
        <v>231</v>
      </c>
      <c r="C72" s="2" t="s">
        <v>232</v>
      </c>
      <c r="D72" s="3" t="s">
        <v>12</v>
      </c>
      <c r="E72" s="3">
        <v>21.99</v>
      </c>
      <c r="F72" s="3" t="s">
        <v>12</v>
      </c>
      <c r="G72" s="2" t="s">
        <v>233</v>
      </c>
      <c r="H72" s="2" t="s">
        <v>234</v>
      </c>
    </row>
    <row r="73" spans="1:8" x14ac:dyDescent="0.25">
      <c r="A73" s="2" t="s">
        <v>231</v>
      </c>
      <c r="B73" s="2" t="s">
        <v>231</v>
      </c>
      <c r="C73" s="2" t="s">
        <v>235</v>
      </c>
      <c r="D73" s="3">
        <v>63.76</v>
      </c>
      <c r="E73" s="3" t="s">
        <v>12</v>
      </c>
      <c r="F73" s="3" t="s">
        <v>12</v>
      </c>
      <c r="G73" s="2" t="s">
        <v>233</v>
      </c>
      <c r="H73" s="2" t="s">
        <v>236</v>
      </c>
    </row>
    <row r="74" spans="1:8" x14ac:dyDescent="0.25">
      <c r="C74" s="5" t="s">
        <v>55</v>
      </c>
      <c r="D74" s="6">
        <f>SUM(D2:D73)</f>
      </c>
      <c r="E74" s="6">
        <f>SUM(E2:E73)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6" customWidth="1"/>
    <col min="2" max="2" width="14" customWidth="1"/>
    <col min="3" max="3" width="34" customWidth="1"/>
  </cols>
  <sheetData>
    <row r="1" spans="1:3" x14ac:dyDescent="0.25">
      <c r="A1" s="7" t="s">
        <v>237</v>
      </c>
    </row>
    <row r="2" spans="1:3" x14ac:dyDescent="0.25">
      <c r="A2" t="s">
        <v>238</v>
      </c>
    </row>
    <row r="3" spans="1:3" x14ac:dyDescent="0.25"/>
    <row r="4" spans="1:3" x14ac:dyDescent="0.25">
      <c r="A4" s="8" t="s">
        <v>239</v>
      </c>
    </row>
    <row r="5" ht="24" customHeight="1" spans="1:3" x14ac:dyDescent="0.25">
      <c r="A5" s="1" t="s">
        <v>240</v>
      </c>
      <c r="B5" s="1" t="s">
        <v>241</v>
      </c>
      <c r="C5" s="1" t="s">
        <v>242</v>
      </c>
    </row>
    <row r="6" spans="1:3" x14ac:dyDescent="0.25">
      <c r="A6" s="2" t="s">
        <v>243</v>
      </c>
      <c r="B6" s="3">
        <v>826.24</v>
      </c>
      <c r="C6" s="2" t="s">
        <v>244</v>
      </c>
    </row>
    <row r="7" spans="1:3" x14ac:dyDescent="0.25">
      <c r="A7" s="2" t="s">
        <v>245</v>
      </c>
      <c r="B7" s="3">
        <v>87.45</v>
      </c>
      <c r="C7" s="2" t="s">
        <v>244</v>
      </c>
    </row>
    <row r="8" spans="1:3" x14ac:dyDescent="0.25">
      <c r="A8" s="2" t="s">
        <v>246</v>
      </c>
      <c r="B8" s="3">
        <v>431.53</v>
      </c>
      <c r="C8" s="2" t="s">
        <v>247</v>
      </c>
    </row>
    <row r="9" spans="1:3" x14ac:dyDescent="0.25">
      <c r="A9" s="2" t="s">
        <v>248</v>
      </c>
      <c r="B9" s="3">
        <v>57.7</v>
      </c>
      <c r="C9" s="2" t="s">
        <v>247</v>
      </c>
    </row>
    <row r="10" spans="1:3" x14ac:dyDescent="0.25">
      <c r="A10" s="2" t="s">
        <v>249</v>
      </c>
      <c r="B10" s="3">
        <v>28.78</v>
      </c>
      <c r="C10" s="2" t="s">
        <v>250</v>
      </c>
    </row>
    <row r="11" spans="1:3" x14ac:dyDescent="0.25">
      <c r="A11" s="2" t="s">
        <v>251</v>
      </c>
      <c r="B11" s="3">
        <v>28.78</v>
      </c>
      <c r="C11" s="2" t="s">
        <v>252</v>
      </c>
    </row>
    <row r="12" spans="1:3" x14ac:dyDescent="0.25">
      <c r="A12" s="2" t="s">
        <v>253</v>
      </c>
      <c r="B12" s="3">
        <v>116.23</v>
      </c>
      <c r="C12" s="2" t="s">
        <v>254</v>
      </c>
    </row>
    <row r="13" spans="1:3" x14ac:dyDescent="0.25">
      <c r="A13" s="2" t="s">
        <v>255</v>
      </c>
      <c r="B13" s="3">
        <v>86.48</v>
      </c>
      <c r="C13" s="2" t="s">
        <v>256</v>
      </c>
    </row>
    <row r="14" spans="1:3" x14ac:dyDescent="0.25">
      <c r="A14" s="2" t="s">
        <v>257</v>
      </c>
      <c r="B14" s="3">
        <v>29.75</v>
      </c>
      <c r="C14" s="2" t="s">
        <v>258</v>
      </c>
    </row>
    <row r="15" spans="1:3" x14ac:dyDescent="0.25"/>
    <row r="16" spans="1:3" x14ac:dyDescent="0.25">
      <c r="A16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2" customWidth="1"/>
    <col min="2" max="2" width="45" customWidth="1"/>
    <col min="3" max="3" width="14" customWidth="1"/>
    <col min="4" max="4" width="72" customWidth="1"/>
  </cols>
  <sheetData>
    <row r="1" ht="24" customHeight="1" spans="1:4" x14ac:dyDescent="0.25">
      <c r="A1" s="1" t="s">
        <v>260</v>
      </c>
      <c r="B1" s="1" t="s">
        <v>261</v>
      </c>
      <c r="C1" s="1" t="s">
        <v>241</v>
      </c>
      <c r="D1" s="1" t="s">
        <v>262</v>
      </c>
    </row>
    <row r="2" spans="1:4" x14ac:dyDescent="0.25">
      <c r="A2" s="2" t="s">
        <v>263</v>
      </c>
      <c r="B2" s="2" t="s">
        <v>264</v>
      </c>
      <c r="C2" s="3">
        <v>-17.75</v>
      </c>
      <c r="D2" s="2" t="s">
        <v>265</v>
      </c>
    </row>
    <row r="3" spans="1:4" x14ac:dyDescent="0.25">
      <c r="A3" s="2" t="s">
        <v>266</v>
      </c>
      <c r="B3" s="2" t="s">
        <v>264</v>
      </c>
      <c r="C3" s="3">
        <v>-18</v>
      </c>
      <c r="D3" s="2" t="s">
        <v>265</v>
      </c>
    </row>
    <row r="4" spans="1:4" x14ac:dyDescent="0.25">
      <c r="A4" s="2" t="s">
        <v>267</v>
      </c>
      <c r="B4" s="2" t="s">
        <v>264</v>
      </c>
      <c r="C4" s="3">
        <v>-3.14</v>
      </c>
      <c r="D4" s="2" t="s">
        <v>265</v>
      </c>
    </row>
    <row r="5" spans="1:4" x14ac:dyDescent="0.25">
      <c r="A5" s="2" t="s">
        <v>268</v>
      </c>
      <c r="B5" s="2" t="s">
        <v>264</v>
      </c>
      <c r="C5" s="3">
        <v>-17.75</v>
      </c>
      <c r="D5" s="2" t="s">
        <v>265</v>
      </c>
    </row>
    <row r="6" spans="1:4" x14ac:dyDescent="0.25">
      <c r="A6" s="2" t="s">
        <v>269</v>
      </c>
      <c r="B6" s="2" t="s">
        <v>264</v>
      </c>
      <c r="C6" s="3">
        <v>-18</v>
      </c>
      <c r="D6" s="2" t="s">
        <v>265</v>
      </c>
    </row>
    <row r="7" spans="1:4" x14ac:dyDescent="0.25">
      <c r="A7" s="2" t="s">
        <v>270</v>
      </c>
      <c r="B7" s="2" t="s">
        <v>264</v>
      </c>
      <c r="C7" s="3">
        <v>-0.81</v>
      </c>
      <c r="D7" s="2" t="s">
        <v>265</v>
      </c>
    </row>
    <row r="8" spans="1:4" x14ac:dyDescent="0.25">
      <c r="A8" s="2" t="s">
        <v>271</v>
      </c>
      <c r="B8" s="2" t="s">
        <v>247</v>
      </c>
      <c r="C8" s="3">
        <v>20</v>
      </c>
      <c r="D8" s="2" t="s">
        <v>272</v>
      </c>
    </row>
    <row r="9" spans="1:4" x14ac:dyDescent="0.25">
      <c r="A9" s="2" t="s">
        <v>273</v>
      </c>
      <c r="B9" s="2" t="s">
        <v>247</v>
      </c>
      <c r="C9" s="3">
        <v>25</v>
      </c>
      <c r="D9" s="2" t="s">
        <v>272</v>
      </c>
    </row>
    <row r="10" spans="1:4" x14ac:dyDescent="0.25">
      <c r="A10" s="2" t="s">
        <v>274</v>
      </c>
      <c r="B10" s="2" t="s">
        <v>247</v>
      </c>
      <c r="C10" s="3">
        <v>20</v>
      </c>
      <c r="D10" s="2" t="s">
        <v>272</v>
      </c>
    </row>
    <row r="11" spans="1:4" x14ac:dyDescent="0.25">
      <c r="A11" s="2" t="s">
        <v>275</v>
      </c>
      <c r="B11" s="2" t="s">
        <v>247</v>
      </c>
      <c r="C11" s="3">
        <v>25</v>
      </c>
      <c r="D11" s="2" t="s">
        <v>272</v>
      </c>
    </row>
    <row r="12" spans="1:4" x14ac:dyDescent="0.25">
      <c r="A12" s="2" t="s">
        <v>276</v>
      </c>
      <c r="B12" s="2" t="s">
        <v>247</v>
      </c>
      <c r="C12" s="3">
        <v>20</v>
      </c>
      <c r="D12" s="2" t="s">
        <v>272</v>
      </c>
    </row>
    <row r="13" spans="1:4" x14ac:dyDescent="0.25">
      <c r="A13" s="2" t="s">
        <v>277</v>
      </c>
      <c r="B13" s="2" t="s">
        <v>247</v>
      </c>
      <c r="C13" s="3">
        <v>6.87</v>
      </c>
      <c r="D13" s="2" t="s">
        <v>272</v>
      </c>
    </row>
    <row r="14" spans="1:4" x14ac:dyDescent="0.25">
      <c r="A14" s="2" t="s">
        <v>278</v>
      </c>
      <c r="B14" s="2" t="s">
        <v>247</v>
      </c>
      <c r="C14" s="3">
        <v>6.09</v>
      </c>
      <c r="D14" s="2" t="s">
        <v>272</v>
      </c>
    </row>
    <row r="15" spans="1:4" x14ac:dyDescent="0.25">
      <c r="A15" s="2" t="s">
        <v>279</v>
      </c>
      <c r="B15" s="2" t="s">
        <v>247</v>
      </c>
      <c r="C15" s="3">
        <v>25</v>
      </c>
      <c r="D15" s="2" t="s">
        <v>272</v>
      </c>
    </row>
    <row r="16" spans="1:4" x14ac:dyDescent="0.25">
      <c r="A16" s="2" t="s">
        <v>280</v>
      </c>
      <c r="B16" s="2" t="s">
        <v>247</v>
      </c>
      <c r="C16" s="3">
        <v>20</v>
      </c>
      <c r="D16" s="2" t="s">
        <v>272</v>
      </c>
    </row>
    <row r="17" spans="1:4" x14ac:dyDescent="0.25">
      <c r="A17" s="2" t="s">
        <v>281</v>
      </c>
      <c r="B17" s="2" t="s">
        <v>247</v>
      </c>
      <c r="C17" s="3">
        <v>30</v>
      </c>
      <c r="D17" s="2" t="s">
        <v>272</v>
      </c>
    </row>
    <row r="18" spans="1:4" x14ac:dyDescent="0.25">
      <c r="A18" s="2" t="s">
        <v>282</v>
      </c>
      <c r="B18" s="2" t="s">
        <v>247</v>
      </c>
      <c r="C18" s="3">
        <v>40</v>
      </c>
      <c r="D18" s="2" t="s">
        <v>272</v>
      </c>
    </row>
    <row r="19" spans="1:4" x14ac:dyDescent="0.25">
      <c r="A19" s="2" t="s">
        <v>283</v>
      </c>
      <c r="B19" s="2" t="s">
        <v>247</v>
      </c>
      <c r="C19" s="3">
        <v>40</v>
      </c>
      <c r="D19" s="2" t="s">
        <v>272</v>
      </c>
    </row>
    <row r="20" spans="1:4" x14ac:dyDescent="0.25">
      <c r="A20" s="2" t="s">
        <v>284</v>
      </c>
      <c r="B20" s="2" t="s">
        <v>247</v>
      </c>
      <c r="C20" s="3">
        <v>25</v>
      </c>
      <c r="D20" s="2" t="s">
        <v>272</v>
      </c>
    </row>
    <row r="21" spans="1:4" x14ac:dyDescent="0.25">
      <c r="A21" s="2" t="s">
        <v>285</v>
      </c>
      <c r="B21" s="2" t="s">
        <v>247</v>
      </c>
      <c r="C21" s="3">
        <v>25.92</v>
      </c>
      <c r="D21" s="2" t="s">
        <v>272</v>
      </c>
    </row>
    <row r="22" spans="1:4" x14ac:dyDescent="0.25">
      <c r="A22" s="2" t="s">
        <v>286</v>
      </c>
      <c r="B22" s="2" t="s">
        <v>247</v>
      </c>
      <c r="C22" s="3">
        <v>30</v>
      </c>
      <c r="D22" s="2" t="s">
        <v>272</v>
      </c>
    </row>
    <row r="23" spans="1:4" x14ac:dyDescent="0.25">
      <c r="A23" s="2" t="s">
        <v>287</v>
      </c>
      <c r="B23" s="2" t="s">
        <v>247</v>
      </c>
      <c r="C23" s="3">
        <v>20</v>
      </c>
      <c r="D23" s="2" t="s">
        <v>272</v>
      </c>
    </row>
    <row r="24" spans="1:4" x14ac:dyDescent="0.25">
      <c r="A24" s="2" t="s">
        <v>288</v>
      </c>
      <c r="B24" s="2" t="s">
        <v>247</v>
      </c>
      <c r="C24" s="3">
        <v>40</v>
      </c>
      <c r="D24" s="2" t="s">
        <v>272</v>
      </c>
    </row>
    <row r="25" spans="1:4" x14ac:dyDescent="0.25">
      <c r="A25" s="2" t="s">
        <v>289</v>
      </c>
      <c r="B25" s="2" t="s">
        <v>247</v>
      </c>
      <c r="C25" s="3">
        <v>50</v>
      </c>
      <c r="D25" s="2" t="s">
        <v>272</v>
      </c>
    </row>
    <row r="26" spans="1:4" x14ac:dyDescent="0.25">
      <c r="A26" s="2" t="s">
        <v>290</v>
      </c>
      <c r="B26" s="2" t="s">
        <v>291</v>
      </c>
      <c r="C26" s="3">
        <v>0.53</v>
      </c>
      <c r="D26" s="2" t="s">
        <v>292</v>
      </c>
    </row>
    <row r="27" spans="1:4" x14ac:dyDescent="0.25">
      <c r="A27" s="2" t="s">
        <v>293</v>
      </c>
      <c r="B27" s="2" t="s">
        <v>291</v>
      </c>
      <c r="C27" s="3">
        <v>0.22</v>
      </c>
      <c r="D27" s="2" t="s">
        <v>292</v>
      </c>
    </row>
    <row r="28" spans="1:4" x14ac:dyDescent="0.25">
      <c r="A28" s="2" t="s">
        <v>294</v>
      </c>
      <c r="B28" s="2" t="s">
        <v>291</v>
      </c>
      <c r="C28" s="3">
        <v>0.18</v>
      </c>
      <c r="D28" s="2" t="s">
        <v>292</v>
      </c>
    </row>
    <row r="29" spans="1:4" x14ac:dyDescent="0.25">
      <c r="A29" s="2" t="s">
        <v>295</v>
      </c>
      <c r="B29" s="2" t="s">
        <v>291</v>
      </c>
      <c r="C29" s="3">
        <v>0.15</v>
      </c>
      <c r="D29" s="2" t="s">
        <v>292</v>
      </c>
    </row>
    <row r="30" spans="1:4" x14ac:dyDescent="0.25">
      <c r="A30" s="2" t="s">
        <v>296</v>
      </c>
      <c r="B30" s="2" t="s">
        <v>291</v>
      </c>
      <c r="C30" s="3">
        <v>0.09</v>
      </c>
      <c r="D30" s="2" t="s">
        <v>292</v>
      </c>
    </row>
    <row r="31" spans="1:4" x14ac:dyDescent="0.25">
      <c r="A31" s="2" t="s">
        <v>297</v>
      </c>
      <c r="B31" s="2" t="s">
        <v>291</v>
      </c>
      <c r="C31" s="3">
        <v>0.05</v>
      </c>
      <c r="D31" s="2" t="s">
        <v>292</v>
      </c>
    </row>
    <row r="32" spans="1:4" x14ac:dyDescent="0.25">
      <c r="A32" s="2" t="s">
        <v>298</v>
      </c>
      <c r="B32" s="2" t="s">
        <v>291</v>
      </c>
      <c r="C32" s="3">
        <v>0.02</v>
      </c>
      <c r="D32" s="2" t="s">
        <v>292</v>
      </c>
    </row>
    <row r="33" spans="1:4" x14ac:dyDescent="0.25">
      <c r="A33" s="2" t="s">
        <v>299</v>
      </c>
      <c r="B33" s="2" t="s">
        <v>300</v>
      </c>
      <c r="C33" s="3">
        <v>29.99</v>
      </c>
      <c r="D33" s="2" t="s">
        <v>301</v>
      </c>
    </row>
    <row r="34" spans="1:4" x14ac:dyDescent="0.25">
      <c r="A34" s="2" t="s">
        <v>302</v>
      </c>
      <c r="B34" s="2" t="s">
        <v>300</v>
      </c>
      <c r="C34" s="3">
        <v>54.98</v>
      </c>
      <c r="D34" s="2" t="s">
        <v>301</v>
      </c>
    </row>
    <row r="35" spans="1:4" x14ac:dyDescent="0.25">
      <c r="A35" s="2" t="s">
        <v>303</v>
      </c>
      <c r="B35" s="2" t="s">
        <v>304</v>
      </c>
      <c r="C35" s="3">
        <v>54.98</v>
      </c>
      <c r="D35" s="2" t="s">
        <v>305</v>
      </c>
    </row>
    <row r="36" spans="1:4" x14ac:dyDescent="0.25">
      <c r="A36" s="2" t="s">
        <v>306</v>
      </c>
      <c r="B36" s="2" t="s">
        <v>307</v>
      </c>
      <c r="C36" s="3">
        <v>31.48</v>
      </c>
      <c r="D36" s="2" t="s">
        <v>308</v>
      </c>
    </row>
    <row r="37" spans="1:4" x14ac:dyDescent="0.25">
      <c r="A37" s="2" t="s">
        <v>309</v>
      </c>
      <c r="B37" s="2" t="s">
        <v>307</v>
      </c>
      <c r="C37" s="3">
        <v>31.48</v>
      </c>
      <c r="D37" s="2" t="s">
        <v>308</v>
      </c>
    </row>
    <row r="38" spans="1:4" x14ac:dyDescent="0.25">
      <c r="A38" s="2" t="s">
        <v>310</v>
      </c>
      <c r="B38" s="2" t="s">
        <v>307</v>
      </c>
      <c r="C38" s="3">
        <v>32.48</v>
      </c>
      <c r="D38" s="2" t="s">
        <v>308</v>
      </c>
    </row>
    <row r="39" spans="1:4" x14ac:dyDescent="0.25">
      <c r="A39" s="2" t="s">
        <v>311</v>
      </c>
      <c r="B39" s="2" t="s">
        <v>307</v>
      </c>
      <c r="C39" s="3">
        <v>31.48</v>
      </c>
      <c r="D39" s="2" t="s">
        <v>308</v>
      </c>
    </row>
    <row r="40" spans="1:4" x14ac:dyDescent="0.25">
      <c r="A40" s="2" t="s">
        <v>312</v>
      </c>
      <c r="B40" s="2" t="s">
        <v>307</v>
      </c>
      <c r="C40" s="3">
        <v>31.48</v>
      </c>
      <c r="D40" s="2" t="s">
        <v>308</v>
      </c>
    </row>
    <row r="41" spans="1:4" x14ac:dyDescent="0.25">
      <c r="A41" s="2" t="s">
        <v>313</v>
      </c>
      <c r="B41" s="2" t="s">
        <v>244</v>
      </c>
      <c r="C41" s="3">
        <v>29.99</v>
      </c>
      <c r="D41" s="2" t="s">
        <v>314</v>
      </c>
    </row>
    <row r="42" spans="1:4" x14ac:dyDescent="0.25">
      <c r="A42" s="2" t="s">
        <v>315</v>
      </c>
      <c r="B42" s="2" t="s">
        <v>244</v>
      </c>
      <c r="C42" s="3">
        <v>34.99</v>
      </c>
      <c r="D42" s="2" t="s">
        <v>314</v>
      </c>
    </row>
    <row r="43" spans="1:4" x14ac:dyDescent="0.25">
      <c r="A43" s="2" t="s">
        <v>316</v>
      </c>
      <c r="B43" s="2" t="s">
        <v>244</v>
      </c>
      <c r="C43" s="3">
        <v>31.48</v>
      </c>
      <c r="D43" s="2" t="s">
        <v>314</v>
      </c>
    </row>
    <row r="44" spans="1:4" x14ac:dyDescent="0.25">
      <c r="A44" s="2" t="s">
        <v>317</v>
      </c>
      <c r="B44" s="2" t="s">
        <v>244</v>
      </c>
      <c r="C44" s="3">
        <v>31.48</v>
      </c>
      <c r="D44" s="2" t="s">
        <v>314</v>
      </c>
    </row>
    <row r="45" spans="1:4" x14ac:dyDescent="0.25">
      <c r="A45" s="2" t="s">
        <v>318</v>
      </c>
      <c r="B45" s="2" t="s">
        <v>244</v>
      </c>
      <c r="C45" s="3">
        <v>32.48</v>
      </c>
      <c r="D45" s="2" t="s">
        <v>314</v>
      </c>
    </row>
    <row r="46" spans="1:4" x14ac:dyDescent="0.25">
      <c r="A46" s="2" t="s">
        <v>319</v>
      </c>
      <c r="B46" s="2" t="s">
        <v>244</v>
      </c>
      <c r="C46" s="3">
        <v>43.97</v>
      </c>
      <c r="D46" s="2" t="s">
        <v>314</v>
      </c>
    </row>
    <row r="47" spans="1:4" x14ac:dyDescent="0.25">
      <c r="A47" s="2" t="s">
        <v>320</v>
      </c>
      <c r="B47" s="2" t="s">
        <v>244</v>
      </c>
      <c r="C47" s="3">
        <v>31.48</v>
      </c>
      <c r="D47" s="2" t="s">
        <v>314</v>
      </c>
    </row>
    <row r="48" spans="1:4" x14ac:dyDescent="0.25">
      <c r="A48" s="2" t="s">
        <v>321</v>
      </c>
      <c r="B48" s="2" t="s">
        <v>244</v>
      </c>
      <c r="C48" s="3">
        <v>31.48</v>
      </c>
      <c r="D48" s="2" t="s">
        <v>314</v>
      </c>
    </row>
    <row r="49" spans="1:4" x14ac:dyDescent="0.25">
      <c r="A49" s="2" t="s">
        <v>322</v>
      </c>
      <c r="B49" s="2" t="s">
        <v>244</v>
      </c>
      <c r="C49" s="3">
        <v>64.98</v>
      </c>
      <c r="D49" s="2" t="s">
        <v>314</v>
      </c>
    </row>
    <row r="50" spans="1:4" x14ac:dyDescent="0.25">
      <c r="A50" s="2" t="s">
        <v>323</v>
      </c>
      <c r="B50" s="2" t="s">
        <v>324</v>
      </c>
      <c r="C50" s="3">
        <v>284.9</v>
      </c>
      <c r="D50" s="2" t="s">
        <v>325</v>
      </c>
    </row>
    <row r="51" spans="1:4" x14ac:dyDescent="0.25">
      <c r="A51" s="2" t="s">
        <v>326</v>
      </c>
      <c r="B51" s="2" t="s">
        <v>327</v>
      </c>
      <c r="C51" s="3">
        <v>0</v>
      </c>
      <c r="D51" s="2" t="s">
        <v>328</v>
      </c>
    </row>
    <row r="52" spans="1:4" x14ac:dyDescent="0.25">
      <c r="A52" s="2" t="s">
        <v>329</v>
      </c>
      <c r="B52" s="2" t="s">
        <v>327</v>
      </c>
      <c r="C52" s="3">
        <v>387.9</v>
      </c>
      <c r="D52" s="2" t="s">
        <v>330</v>
      </c>
    </row>
    <row r="53" spans="1:4" x14ac:dyDescent="0.25">
      <c r="A53" s="2" t="s">
        <v>331</v>
      </c>
      <c r="B53" s="2" t="s">
        <v>327</v>
      </c>
      <c r="C53" s="3">
        <v>387.06</v>
      </c>
      <c r="D53" s="2" t="s">
        <v>332</v>
      </c>
    </row>
    <row r="54" spans="1:4" x14ac:dyDescent="0.25">
      <c r="A54" s="2" t="s">
        <v>333</v>
      </c>
      <c r="B54" s="2" t="s">
        <v>327</v>
      </c>
      <c r="C54" s="3">
        <v>18.4</v>
      </c>
      <c r="D54" s="2" t="s">
        <v>334</v>
      </c>
    </row>
    <row r="55" spans="1:4" x14ac:dyDescent="0.25">
      <c r="A55" s="2" t="s">
        <v>335</v>
      </c>
      <c r="B55" s="2" t="s">
        <v>327</v>
      </c>
      <c r="C55" s="3">
        <v>0</v>
      </c>
      <c r="D55" s="2" t="s">
        <v>336</v>
      </c>
    </row>
    <row r="56" spans="1:4" x14ac:dyDescent="0.25">
      <c r="A56" s="2" t="s">
        <v>337</v>
      </c>
      <c r="B56" s="2" t="s">
        <v>327</v>
      </c>
      <c r="C56" s="3">
        <v>0</v>
      </c>
      <c r="D56" s="2" t="s">
        <v>338</v>
      </c>
    </row>
    <row r="57" spans="1:4" x14ac:dyDescent="0.25">
      <c r="A57" s="2" t="s">
        <v>339</v>
      </c>
      <c r="B57" s="2" t="s">
        <v>327</v>
      </c>
      <c r="C57" s="3">
        <v>0</v>
      </c>
      <c r="D57" s="2" t="s">
        <v>340</v>
      </c>
    </row>
    <row r="58" spans="1:4" x14ac:dyDescent="0.25">
      <c r="A58" s="2" t="s">
        <v>341</v>
      </c>
      <c r="B58" s="2" t="s">
        <v>327</v>
      </c>
      <c r="C58" s="3">
        <v>0</v>
      </c>
      <c r="D58" s="2" t="s">
        <v>342</v>
      </c>
    </row>
    <row r="59" spans="1:4" x14ac:dyDescent="0.25">
      <c r="A59" s="2" t="s">
        <v>343</v>
      </c>
      <c r="B59" s="2" t="s">
        <v>327</v>
      </c>
      <c r="C59" s="3">
        <v>0</v>
      </c>
      <c r="D59" s="2" t="s">
        <v>344</v>
      </c>
    </row>
    <row r="60" spans="1:4" x14ac:dyDescent="0.25">
      <c r="A60" s="2" t="s">
        <v>345</v>
      </c>
      <c r="B60" s="2" t="s">
        <v>327</v>
      </c>
      <c r="C60" s="3">
        <v>0</v>
      </c>
      <c r="D60" s="2" t="s">
        <v>346</v>
      </c>
    </row>
    <row r="61" spans="1:4" x14ac:dyDescent="0.25">
      <c r="A61" s="2" t="s">
        <v>347</v>
      </c>
      <c r="B61" s="2" t="s">
        <v>327</v>
      </c>
      <c r="C61" s="3">
        <v>0</v>
      </c>
      <c r="D61" s="2" t="s">
        <v>348</v>
      </c>
    </row>
    <row r="62" spans="1:4" x14ac:dyDescent="0.25">
      <c r="A62" s="2" t="s">
        <v>349</v>
      </c>
      <c r="B62" s="2" t="s">
        <v>327</v>
      </c>
      <c r="C62" s="3">
        <v>845.38</v>
      </c>
      <c r="D62" s="2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32" customWidth="1"/>
    <col min="4" max="4" width="26" customWidth="1"/>
    <col min="5" max="5" width="16" customWidth="1"/>
    <col min="6" max="6" width="36" customWidth="1"/>
    <col min="7" max="7" width="30" customWidth="1"/>
    <col min="8" max="8" width="19" customWidth="1"/>
  </cols>
  <sheetData>
    <row r="1" ht="24" customHeight="1" spans="1:8" x14ac:dyDescent="0.25">
      <c r="A1" s="1" t="s">
        <v>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</row>
    <row r="2" spans="1:8" x14ac:dyDescent="0.25">
      <c r="A2" s="2" t="s">
        <v>9</v>
      </c>
      <c r="B2" s="2" t="s">
        <v>128</v>
      </c>
      <c r="C2" s="2" t="s">
        <v>12</v>
      </c>
      <c r="D2" s="9">
        <v>-29.08</v>
      </c>
      <c r="E2" s="2" t="s">
        <v>358</v>
      </c>
      <c r="F2" s="2" t="s">
        <v>359</v>
      </c>
      <c r="G2" s="2" t="s">
        <v>360</v>
      </c>
      <c r="H2" s="3">
        <v>-29.08</v>
      </c>
    </row>
    <row r="3" spans="1:8" x14ac:dyDescent="0.25">
      <c r="A3" s="2" t="s">
        <v>133</v>
      </c>
      <c r="B3" s="2" t="s">
        <v>134</v>
      </c>
      <c r="C3" s="2" t="s">
        <v>12</v>
      </c>
      <c r="D3" s="10">
        <v>28.3</v>
      </c>
      <c r="E3" s="2" t="s">
        <v>358</v>
      </c>
      <c r="F3" s="2" t="s">
        <v>361</v>
      </c>
      <c r="G3" s="2" t="s">
        <v>362</v>
      </c>
      <c r="H3" s="3">
        <v>-0.78</v>
      </c>
    </row>
    <row r="4" spans="1:8" x14ac:dyDescent="0.25">
      <c r="A4" s="2" t="s">
        <v>140</v>
      </c>
      <c r="B4" s="2" t="s">
        <v>363</v>
      </c>
      <c r="C4" s="2" t="s">
        <v>12</v>
      </c>
      <c r="D4" s="9">
        <v>-145</v>
      </c>
      <c r="E4" s="2" t="s">
        <v>358</v>
      </c>
      <c r="F4" s="2" t="s">
        <v>364</v>
      </c>
      <c r="G4" s="2" t="s">
        <v>365</v>
      </c>
      <c r="H4" s="3">
        <v>-145.78</v>
      </c>
    </row>
    <row r="5" spans="1:8" x14ac:dyDescent="0.25">
      <c r="A5" s="2" t="s">
        <v>140</v>
      </c>
      <c r="B5" s="2" t="s">
        <v>143</v>
      </c>
      <c r="C5" s="2" t="s">
        <v>12</v>
      </c>
      <c r="D5" s="10">
        <v>30.09</v>
      </c>
      <c r="E5" s="2" t="s">
        <v>358</v>
      </c>
      <c r="F5" s="2" t="s">
        <v>366</v>
      </c>
      <c r="G5" s="2" t="s">
        <v>367</v>
      </c>
      <c r="H5" s="3">
        <v>-115.69</v>
      </c>
    </row>
    <row r="6" spans="1:8" x14ac:dyDescent="0.25">
      <c r="A6" s="2" t="s">
        <v>140</v>
      </c>
      <c r="B6" s="2" t="s">
        <v>142</v>
      </c>
      <c r="C6" s="2" t="s">
        <v>12</v>
      </c>
      <c r="D6" s="10">
        <v>141.84</v>
      </c>
      <c r="E6" s="2" t="s">
        <v>358</v>
      </c>
      <c r="F6" s="2" t="s">
        <v>361</v>
      </c>
      <c r="G6" s="2" t="s">
        <v>368</v>
      </c>
      <c r="H6" s="3">
        <v>26.15</v>
      </c>
    </row>
    <row r="7" spans="1:8" x14ac:dyDescent="0.25">
      <c r="A7" s="2" t="s">
        <v>69</v>
      </c>
      <c r="B7" s="2" t="s">
        <v>146</v>
      </c>
      <c r="C7" s="2" t="s">
        <v>12</v>
      </c>
      <c r="D7" s="9">
        <v>-126.62</v>
      </c>
      <c r="E7" s="2" t="s">
        <v>358</v>
      </c>
      <c r="F7" s="2" t="s">
        <v>364</v>
      </c>
      <c r="G7" s="2" t="s">
        <v>369</v>
      </c>
      <c r="H7" s="3">
        <v>-100.47</v>
      </c>
    </row>
    <row r="8" spans="1:8" x14ac:dyDescent="0.25">
      <c r="A8" s="2" t="s">
        <v>147</v>
      </c>
      <c r="B8" s="2" t="s">
        <v>150</v>
      </c>
      <c r="C8" s="2" t="s">
        <v>12</v>
      </c>
      <c r="D8" s="10">
        <v>0.32</v>
      </c>
      <c r="E8" s="2" t="s">
        <v>358</v>
      </c>
      <c r="F8" s="2" t="s">
        <v>361</v>
      </c>
      <c r="G8" s="2" t="s">
        <v>370</v>
      </c>
      <c r="H8" s="3">
        <v>-100.15</v>
      </c>
    </row>
    <row r="9" spans="1:8" x14ac:dyDescent="0.25">
      <c r="A9" s="2" t="s">
        <v>151</v>
      </c>
      <c r="B9" s="2" t="s">
        <v>371</v>
      </c>
      <c r="C9" s="2" t="s">
        <v>12</v>
      </c>
      <c r="D9" s="9">
        <v>-10</v>
      </c>
      <c r="E9" s="2" t="s">
        <v>358</v>
      </c>
      <c r="F9" s="2" t="s">
        <v>361</v>
      </c>
      <c r="G9" s="2" t="s">
        <v>372</v>
      </c>
      <c r="H9" s="3">
        <v>-110.15</v>
      </c>
    </row>
    <row r="10" spans="1:8" x14ac:dyDescent="0.25">
      <c r="A10" s="2" t="s">
        <v>14</v>
      </c>
      <c r="B10" s="2" t="s">
        <v>153</v>
      </c>
      <c r="C10" s="2" t="s">
        <v>12</v>
      </c>
      <c r="D10" s="9">
        <v>-20</v>
      </c>
      <c r="E10" s="2" t="s">
        <v>358</v>
      </c>
      <c r="F10" s="2" t="s">
        <v>373</v>
      </c>
      <c r="G10" s="2" t="s">
        <v>374</v>
      </c>
      <c r="H10" s="3">
        <v>-130.15</v>
      </c>
    </row>
    <row r="11" spans="1:8" x14ac:dyDescent="0.25">
      <c r="A11" s="2" t="s">
        <v>16</v>
      </c>
      <c r="B11" s="2" t="s">
        <v>154</v>
      </c>
      <c r="C11" s="2" t="s">
        <v>12</v>
      </c>
      <c r="D11" s="10">
        <v>0.05</v>
      </c>
      <c r="E11" s="2" t="s">
        <v>358</v>
      </c>
      <c r="F11" s="2" t="s">
        <v>361</v>
      </c>
      <c r="G11" s="2" t="s">
        <v>375</v>
      </c>
      <c r="H11" s="3">
        <v>-130.1</v>
      </c>
    </row>
    <row r="12" spans="1:8" x14ac:dyDescent="0.25">
      <c r="A12" s="2" t="s">
        <v>156</v>
      </c>
      <c r="B12" s="2" t="s">
        <v>157</v>
      </c>
      <c r="C12" s="2" t="s">
        <v>12</v>
      </c>
      <c r="D12" s="10">
        <v>27.99</v>
      </c>
      <c r="E12" s="2" t="s">
        <v>358</v>
      </c>
      <c r="F12" s="2" t="s">
        <v>361</v>
      </c>
      <c r="G12" s="2" t="s">
        <v>376</v>
      </c>
      <c r="H12" s="3">
        <v>-102.11</v>
      </c>
    </row>
    <row r="13" spans="1:8" x14ac:dyDescent="0.25">
      <c r="A13" s="2" t="s">
        <v>160</v>
      </c>
      <c r="B13" s="2" t="s">
        <v>161</v>
      </c>
      <c r="C13" s="2" t="s">
        <v>12</v>
      </c>
      <c r="D13" s="10">
        <v>38.72</v>
      </c>
      <c r="E13" s="2" t="s">
        <v>358</v>
      </c>
      <c r="F13" s="2" t="s">
        <v>361</v>
      </c>
      <c r="G13" s="2" t="s">
        <v>377</v>
      </c>
      <c r="H13" s="3">
        <v>-63.39</v>
      </c>
    </row>
    <row r="14" spans="1:8" x14ac:dyDescent="0.25">
      <c r="A14" s="2" t="s">
        <v>20</v>
      </c>
      <c r="B14" s="2" t="s">
        <v>162</v>
      </c>
      <c r="C14" s="2" t="s">
        <v>12</v>
      </c>
      <c r="D14" s="10">
        <v>35.6</v>
      </c>
      <c r="E14" s="2" t="s">
        <v>358</v>
      </c>
      <c r="F14" s="2" t="s">
        <v>361</v>
      </c>
      <c r="G14" s="2" t="s">
        <v>378</v>
      </c>
      <c r="H14" s="3">
        <v>-27.79</v>
      </c>
    </row>
    <row r="15" spans="1:8" x14ac:dyDescent="0.25">
      <c r="A15" s="2" t="s">
        <v>22</v>
      </c>
      <c r="B15" s="2" t="s">
        <v>163</v>
      </c>
      <c r="C15" s="2" t="s">
        <v>12</v>
      </c>
      <c r="D15" s="9">
        <v>-33</v>
      </c>
      <c r="E15" s="2" t="s">
        <v>358</v>
      </c>
      <c r="F15" s="2" t="s">
        <v>373</v>
      </c>
      <c r="G15" s="2" t="s">
        <v>379</v>
      </c>
      <c r="H15" s="3">
        <v>-60.79</v>
      </c>
    </row>
    <row r="16" spans="1:8" x14ac:dyDescent="0.25">
      <c r="A16" s="2" t="s">
        <v>24</v>
      </c>
      <c r="B16" s="2" t="s">
        <v>380</v>
      </c>
      <c r="C16" s="2" t="s">
        <v>381</v>
      </c>
      <c r="D16" s="9">
        <v>-6.09</v>
      </c>
      <c r="E16" s="2" t="s">
        <v>358</v>
      </c>
      <c r="F16" s="2" t="s">
        <v>361</v>
      </c>
      <c r="G16" s="2" t="s">
        <v>382</v>
      </c>
      <c r="H16" s="3">
        <v>-66.88</v>
      </c>
    </row>
    <row r="17" spans="1:8" x14ac:dyDescent="0.25">
      <c r="A17" s="2" t="s">
        <v>24</v>
      </c>
      <c r="B17" s="2" t="s">
        <v>380</v>
      </c>
      <c r="C17" s="2" t="s">
        <v>381</v>
      </c>
      <c r="D17" s="9">
        <v>-61</v>
      </c>
      <c r="E17" s="2" t="s">
        <v>358</v>
      </c>
      <c r="F17" s="2" t="s">
        <v>361</v>
      </c>
      <c r="G17" s="2" t="s">
        <v>383</v>
      </c>
      <c r="H17" s="3">
        <v>-127.88</v>
      </c>
    </row>
    <row r="18" spans="1:8" x14ac:dyDescent="0.25">
      <c r="A18" s="2" t="s">
        <v>24</v>
      </c>
      <c r="B18" s="2" t="s">
        <v>380</v>
      </c>
      <c r="C18" s="2" t="s">
        <v>381</v>
      </c>
      <c r="D18" s="9">
        <v>-73.19</v>
      </c>
      <c r="E18" s="2" t="s">
        <v>358</v>
      </c>
      <c r="F18" s="2" t="s">
        <v>361</v>
      </c>
      <c r="G18" s="2" t="s">
        <v>384</v>
      </c>
      <c r="H18" s="3">
        <v>-201.07</v>
      </c>
    </row>
    <row r="19" spans="1:8" x14ac:dyDescent="0.25">
      <c r="A19" s="2" t="s">
        <v>81</v>
      </c>
      <c r="B19" s="2" t="s">
        <v>167</v>
      </c>
      <c r="C19" s="2" t="s">
        <v>12</v>
      </c>
      <c r="D19" s="10">
        <v>38.94</v>
      </c>
      <c r="E19" s="2" t="s">
        <v>358</v>
      </c>
      <c r="F19" s="2" t="s">
        <v>361</v>
      </c>
      <c r="G19" s="2" t="s">
        <v>385</v>
      </c>
      <c r="H19" s="3">
        <v>-162.13</v>
      </c>
    </row>
    <row r="20" spans="1:8" x14ac:dyDescent="0.25">
      <c r="A20" s="2" t="s">
        <v>169</v>
      </c>
      <c r="B20" s="2" t="s">
        <v>172</v>
      </c>
      <c r="C20" s="2" t="s">
        <v>12</v>
      </c>
      <c r="D20" s="10">
        <v>53.56</v>
      </c>
      <c r="E20" s="2" t="s">
        <v>358</v>
      </c>
      <c r="F20" s="2" t="s">
        <v>361</v>
      </c>
      <c r="G20" s="2" t="s">
        <v>386</v>
      </c>
      <c r="H20" s="3">
        <v>-108.57</v>
      </c>
    </row>
    <row r="21" spans="1:8" x14ac:dyDescent="0.25">
      <c r="A21" s="2" t="s">
        <v>169</v>
      </c>
      <c r="B21" s="2" t="s">
        <v>170</v>
      </c>
      <c r="C21" s="2" t="s">
        <v>12</v>
      </c>
      <c r="D21" s="10">
        <v>53.64</v>
      </c>
      <c r="E21" s="2" t="s">
        <v>358</v>
      </c>
      <c r="F21" s="2" t="s">
        <v>361</v>
      </c>
      <c r="G21" s="2" t="s">
        <v>387</v>
      </c>
      <c r="H21" s="3">
        <v>-54.93</v>
      </c>
    </row>
    <row r="22" spans="1:8" x14ac:dyDescent="0.25">
      <c r="A22" s="2" t="s">
        <v>90</v>
      </c>
      <c r="B22" s="2" t="s">
        <v>176</v>
      </c>
      <c r="C22" s="2" t="s">
        <v>12</v>
      </c>
      <c r="D22" s="10">
        <v>44.8</v>
      </c>
      <c r="E22" s="2" t="s">
        <v>358</v>
      </c>
      <c r="F22" s="2" t="s">
        <v>361</v>
      </c>
      <c r="G22" s="2" t="s">
        <v>388</v>
      </c>
      <c r="H22" s="3">
        <v>-10.13</v>
      </c>
    </row>
    <row r="23" spans="1:8" x14ac:dyDescent="0.25">
      <c r="A23" s="2" t="s">
        <v>93</v>
      </c>
      <c r="B23" s="2" t="s">
        <v>389</v>
      </c>
      <c r="C23" s="2" t="s">
        <v>12</v>
      </c>
      <c r="D23" s="9">
        <v>-50</v>
      </c>
      <c r="E23" s="2" t="s">
        <v>358</v>
      </c>
      <c r="F23" s="2" t="s">
        <v>361</v>
      </c>
      <c r="G23" s="2" t="s">
        <v>390</v>
      </c>
      <c r="H23" s="3">
        <v>-60.13</v>
      </c>
    </row>
    <row r="24" spans="1:8" x14ac:dyDescent="0.25">
      <c r="A24" s="2" t="s">
        <v>179</v>
      </c>
      <c r="B24" s="2" t="s">
        <v>180</v>
      </c>
      <c r="C24" s="2" t="s">
        <v>12</v>
      </c>
      <c r="D24" s="10">
        <v>278.75</v>
      </c>
      <c r="E24" s="2" t="s">
        <v>358</v>
      </c>
      <c r="F24" s="2" t="s">
        <v>361</v>
      </c>
      <c r="G24" s="2" t="s">
        <v>391</v>
      </c>
      <c r="H24" s="3">
        <v>218.62</v>
      </c>
    </row>
    <row r="25" spans="1:8" x14ac:dyDescent="0.25">
      <c r="A25" s="2" t="s">
        <v>30</v>
      </c>
      <c r="B25" s="2" t="s">
        <v>183</v>
      </c>
      <c r="C25" s="2" t="s">
        <v>12</v>
      </c>
      <c r="D25" s="10">
        <v>3.45</v>
      </c>
      <c r="E25" s="2" t="s">
        <v>358</v>
      </c>
      <c r="F25" s="2" t="s">
        <v>361</v>
      </c>
      <c r="G25" s="2" t="s">
        <v>392</v>
      </c>
      <c r="H25" s="3">
        <v>222.07</v>
      </c>
    </row>
    <row r="26" spans="1:8" x14ac:dyDescent="0.25">
      <c r="A26" s="2" t="s">
        <v>186</v>
      </c>
      <c r="B26" s="2" t="s">
        <v>187</v>
      </c>
      <c r="C26" s="2" t="s">
        <v>12</v>
      </c>
      <c r="D26" s="10">
        <v>48.48</v>
      </c>
      <c r="E26" s="2" t="s">
        <v>358</v>
      </c>
      <c r="F26" s="2" t="s">
        <v>361</v>
      </c>
      <c r="G26" s="2" t="s">
        <v>393</v>
      </c>
      <c r="H26" s="3">
        <v>270.55</v>
      </c>
    </row>
    <row r="27" spans="1:8" x14ac:dyDescent="0.25">
      <c r="A27" s="2" t="s">
        <v>42</v>
      </c>
      <c r="B27" s="2" t="s">
        <v>193</v>
      </c>
      <c r="C27" s="2" t="s">
        <v>12</v>
      </c>
      <c r="D27" s="10">
        <v>23.19</v>
      </c>
      <c r="E27" s="2" t="s">
        <v>358</v>
      </c>
      <c r="F27" s="2" t="s">
        <v>361</v>
      </c>
      <c r="G27" s="2" t="s">
        <v>394</v>
      </c>
      <c r="H27" s="3">
        <v>293.74</v>
      </c>
    </row>
    <row r="28" spans="1:8" x14ac:dyDescent="0.25">
      <c r="A28" s="2" t="s">
        <v>97</v>
      </c>
      <c r="B28" s="2" t="s">
        <v>395</v>
      </c>
      <c r="C28" s="2" t="s">
        <v>396</v>
      </c>
      <c r="D28" s="9">
        <v>-21.99</v>
      </c>
      <c r="E28" s="2" t="s">
        <v>358</v>
      </c>
      <c r="F28" s="2" t="s">
        <v>361</v>
      </c>
      <c r="G28" s="2" t="s">
        <v>397</v>
      </c>
      <c r="H28" s="3">
        <v>271.75</v>
      </c>
    </row>
    <row r="29" spans="1:8" x14ac:dyDescent="0.25">
      <c r="A29" s="2" t="s">
        <v>97</v>
      </c>
      <c r="B29" s="2" t="s">
        <v>398</v>
      </c>
      <c r="C29" s="2" t="s">
        <v>12</v>
      </c>
      <c r="D29" s="9">
        <v>-30</v>
      </c>
      <c r="E29" s="2" t="s">
        <v>358</v>
      </c>
      <c r="F29" s="2" t="s">
        <v>361</v>
      </c>
      <c r="G29" s="2" t="s">
        <v>399</v>
      </c>
      <c r="H29" s="3">
        <v>241.75</v>
      </c>
    </row>
    <row r="30" spans="1:8" x14ac:dyDescent="0.25">
      <c r="A30" s="2" t="s">
        <v>97</v>
      </c>
      <c r="B30" s="2" t="s">
        <v>196</v>
      </c>
      <c r="C30" s="2" t="s">
        <v>12</v>
      </c>
      <c r="D30" s="9">
        <v>-40</v>
      </c>
      <c r="E30" s="2" t="s">
        <v>358</v>
      </c>
      <c r="F30" s="2" t="s">
        <v>373</v>
      </c>
      <c r="G30" s="2" t="s">
        <v>400</v>
      </c>
      <c r="H30" s="3">
        <v>201.75</v>
      </c>
    </row>
    <row r="31" spans="1:8" x14ac:dyDescent="0.25">
      <c r="A31" s="2" t="s">
        <v>97</v>
      </c>
      <c r="B31" s="2" t="s">
        <v>197</v>
      </c>
      <c r="C31" s="2" t="s">
        <v>12</v>
      </c>
      <c r="D31" s="9">
        <v>-20</v>
      </c>
      <c r="E31" s="2" t="s">
        <v>358</v>
      </c>
      <c r="F31" s="2" t="s">
        <v>364</v>
      </c>
      <c r="G31" s="2" t="s">
        <v>401</v>
      </c>
      <c r="H31" s="3">
        <v>181.75</v>
      </c>
    </row>
    <row r="32" spans="1:8" x14ac:dyDescent="0.25">
      <c r="A32" s="2" t="s">
        <v>198</v>
      </c>
      <c r="B32" s="2" t="s">
        <v>199</v>
      </c>
      <c r="C32" s="2" t="s">
        <v>12</v>
      </c>
      <c r="D32" s="10">
        <v>30.87</v>
      </c>
      <c r="E32" s="2" t="s">
        <v>358</v>
      </c>
      <c r="F32" s="2" t="s">
        <v>361</v>
      </c>
      <c r="G32" s="2" t="s">
        <v>402</v>
      </c>
      <c r="H32" s="3">
        <v>212.62</v>
      </c>
    </row>
    <row r="33" spans="1:8" x14ac:dyDescent="0.25">
      <c r="A33" s="2" t="s">
        <v>198</v>
      </c>
      <c r="B33" s="2" t="s">
        <v>200</v>
      </c>
      <c r="C33" s="2" t="s">
        <v>12</v>
      </c>
      <c r="D33" s="10">
        <v>82.63</v>
      </c>
      <c r="E33" s="2" t="s">
        <v>358</v>
      </c>
      <c r="F33" s="2" t="s">
        <v>361</v>
      </c>
      <c r="G33" s="2" t="s">
        <v>403</v>
      </c>
      <c r="H33" s="3">
        <v>295.25</v>
      </c>
    </row>
    <row r="34" spans="1:8" x14ac:dyDescent="0.25">
      <c r="A34" s="2" t="s">
        <v>201</v>
      </c>
      <c r="B34" s="2" t="s">
        <v>404</v>
      </c>
      <c r="C34" s="2" t="s">
        <v>12</v>
      </c>
      <c r="D34" s="9">
        <v>-5</v>
      </c>
      <c r="E34" s="2" t="s">
        <v>358</v>
      </c>
      <c r="F34" s="2" t="s">
        <v>361</v>
      </c>
      <c r="G34" s="2" t="s">
        <v>405</v>
      </c>
      <c r="H34" s="3">
        <v>290.25</v>
      </c>
    </row>
    <row r="35" spans="1:8" x14ac:dyDescent="0.25">
      <c r="A35" s="2" t="s">
        <v>100</v>
      </c>
      <c r="B35" s="2" t="s">
        <v>406</v>
      </c>
      <c r="C35" s="2" t="s">
        <v>12</v>
      </c>
      <c r="D35" s="9">
        <v>-40</v>
      </c>
      <c r="E35" s="2" t="s">
        <v>358</v>
      </c>
      <c r="F35" s="2" t="s">
        <v>364</v>
      </c>
      <c r="G35" s="2" t="s">
        <v>407</v>
      </c>
      <c r="H35" s="3">
        <v>250.25</v>
      </c>
    </row>
    <row r="36" spans="1:8" x14ac:dyDescent="0.25">
      <c r="A36" s="2" t="s">
        <v>205</v>
      </c>
      <c r="B36" s="2" t="s">
        <v>206</v>
      </c>
      <c r="C36" s="2" t="s">
        <v>12</v>
      </c>
      <c r="D36" s="10">
        <v>5.15</v>
      </c>
      <c r="E36" s="2" t="s">
        <v>358</v>
      </c>
      <c r="F36" s="2" t="s">
        <v>361</v>
      </c>
      <c r="G36" s="2" t="s">
        <v>408</v>
      </c>
      <c r="H36" s="3">
        <v>255.4</v>
      </c>
    </row>
    <row r="37" spans="1:8" x14ac:dyDescent="0.25">
      <c r="A37" s="2" t="s">
        <v>44</v>
      </c>
      <c r="B37" s="2" t="s">
        <v>209</v>
      </c>
      <c r="C37" s="2" t="s">
        <v>12</v>
      </c>
      <c r="D37" s="9">
        <v>-15.95</v>
      </c>
      <c r="E37" s="2" t="s">
        <v>358</v>
      </c>
      <c r="F37" s="2" t="s">
        <v>359</v>
      </c>
      <c r="G37" s="2" t="s">
        <v>409</v>
      </c>
      <c r="H37" s="3">
        <v>239.45</v>
      </c>
    </row>
    <row r="38" spans="1:8" x14ac:dyDescent="0.25">
      <c r="A38" s="2" t="s">
        <v>210</v>
      </c>
      <c r="B38" s="2" t="s">
        <v>211</v>
      </c>
      <c r="C38" s="2" t="s">
        <v>12</v>
      </c>
      <c r="D38" s="10">
        <v>4.27</v>
      </c>
      <c r="E38" s="2" t="s">
        <v>358</v>
      </c>
      <c r="F38" s="2" t="s">
        <v>361</v>
      </c>
      <c r="G38" s="2" t="s">
        <v>410</v>
      </c>
      <c r="H38" s="3">
        <v>243.72</v>
      </c>
    </row>
    <row r="39" spans="1:8" x14ac:dyDescent="0.25">
      <c r="A39" s="2" t="s">
        <v>214</v>
      </c>
      <c r="B39" s="2" t="s">
        <v>411</v>
      </c>
      <c r="C39" s="2" t="s">
        <v>12</v>
      </c>
      <c r="D39" s="9">
        <v>-20</v>
      </c>
      <c r="E39" s="2" t="s">
        <v>358</v>
      </c>
      <c r="F39" s="2" t="s">
        <v>361</v>
      </c>
      <c r="G39" s="2" t="s">
        <v>412</v>
      </c>
      <c r="H39" s="3">
        <v>223.72</v>
      </c>
    </row>
    <row r="40" spans="1:8" x14ac:dyDescent="0.25">
      <c r="A40" s="2" t="s">
        <v>214</v>
      </c>
      <c r="B40" s="2" t="s">
        <v>216</v>
      </c>
      <c r="C40" s="2" t="s">
        <v>12</v>
      </c>
      <c r="D40" s="10">
        <v>87.72</v>
      </c>
      <c r="E40" s="2" t="s">
        <v>358</v>
      </c>
      <c r="F40" s="2" t="s">
        <v>361</v>
      </c>
      <c r="G40" s="2" t="s">
        <v>413</v>
      </c>
      <c r="H40" s="3">
        <v>311.44</v>
      </c>
    </row>
    <row r="41" spans="1:8" x14ac:dyDescent="0.25">
      <c r="A41" s="2" t="s">
        <v>217</v>
      </c>
      <c r="B41" s="2" t="s">
        <v>219</v>
      </c>
      <c r="C41" s="2" t="s">
        <v>12</v>
      </c>
      <c r="D41" s="9">
        <v>-25</v>
      </c>
      <c r="E41" s="2" t="s">
        <v>358</v>
      </c>
      <c r="F41" s="2" t="s">
        <v>364</v>
      </c>
      <c r="G41" s="2" t="s">
        <v>414</v>
      </c>
      <c r="H41" s="3">
        <v>286.44</v>
      </c>
    </row>
    <row r="42" spans="1:8" x14ac:dyDescent="0.25">
      <c r="A42" s="2" t="s">
        <v>217</v>
      </c>
      <c r="B42" s="2" t="s">
        <v>218</v>
      </c>
      <c r="C42" s="2" t="s">
        <v>12</v>
      </c>
      <c r="D42" s="10">
        <v>19.31</v>
      </c>
      <c r="E42" s="2" t="s">
        <v>358</v>
      </c>
      <c r="F42" s="2" t="s">
        <v>361</v>
      </c>
      <c r="G42" s="2" t="s">
        <v>415</v>
      </c>
      <c r="H42" s="3">
        <v>305.75</v>
      </c>
    </row>
    <row r="43" spans="1:8" x14ac:dyDescent="0.25">
      <c r="A43" s="2" t="s">
        <v>48</v>
      </c>
      <c r="B43" s="2" t="s">
        <v>221</v>
      </c>
      <c r="C43" s="2" t="s">
        <v>12</v>
      </c>
      <c r="D43" s="9">
        <v>-30</v>
      </c>
      <c r="E43" s="2" t="s">
        <v>358</v>
      </c>
      <c r="F43" s="2" t="s">
        <v>373</v>
      </c>
      <c r="G43" s="2" t="s">
        <v>416</v>
      </c>
      <c r="H43" s="3">
        <v>275.75</v>
      </c>
    </row>
    <row r="44" spans="1:8" x14ac:dyDescent="0.25">
      <c r="A44" s="2" t="s">
        <v>48</v>
      </c>
      <c r="B44" s="2" t="s">
        <v>417</v>
      </c>
      <c r="C44" s="2" t="s">
        <v>12</v>
      </c>
      <c r="D44" s="9">
        <v>-25</v>
      </c>
      <c r="E44" s="2" t="s">
        <v>358</v>
      </c>
      <c r="F44" s="2" t="s">
        <v>361</v>
      </c>
      <c r="G44" s="2" t="s">
        <v>418</v>
      </c>
      <c r="H44" s="3">
        <v>250.75</v>
      </c>
    </row>
    <row r="45" spans="1:8" x14ac:dyDescent="0.25">
      <c r="A45" s="2" t="s">
        <v>222</v>
      </c>
      <c r="B45" s="2" t="s">
        <v>223</v>
      </c>
      <c r="C45" s="2" t="s">
        <v>12</v>
      </c>
      <c r="D45" s="10">
        <v>41.99</v>
      </c>
      <c r="E45" s="2" t="s">
        <v>358</v>
      </c>
      <c r="F45" s="2" t="s">
        <v>361</v>
      </c>
      <c r="G45" s="2" t="s">
        <v>419</v>
      </c>
      <c r="H45" s="3">
        <v>292.74</v>
      </c>
    </row>
    <row r="46" spans="1:8" x14ac:dyDescent="0.25">
      <c r="A46" s="2" t="s">
        <v>115</v>
      </c>
      <c r="B46" s="2" t="s">
        <v>420</v>
      </c>
      <c r="C46" s="2" t="s">
        <v>421</v>
      </c>
      <c r="D46" s="9">
        <v>-0.99</v>
      </c>
      <c r="E46" s="2" t="s">
        <v>358</v>
      </c>
      <c r="F46" s="2" t="s">
        <v>361</v>
      </c>
      <c r="G46" s="2" t="s">
        <v>422</v>
      </c>
      <c r="H46" s="3">
        <v>291.75</v>
      </c>
    </row>
    <row r="47" spans="1:8" x14ac:dyDescent="0.25">
      <c r="A47" s="2" t="s">
        <v>115</v>
      </c>
      <c r="B47" s="2" t="s">
        <v>226</v>
      </c>
      <c r="C47" s="2" t="s">
        <v>12</v>
      </c>
      <c r="D47" s="9">
        <v>-20</v>
      </c>
      <c r="E47" s="2" t="s">
        <v>358</v>
      </c>
      <c r="F47" s="2" t="s">
        <v>373</v>
      </c>
      <c r="G47" s="2" t="s">
        <v>423</v>
      </c>
      <c r="H47" s="3">
        <v>271.75</v>
      </c>
    </row>
    <row r="48" spans="1:8" x14ac:dyDescent="0.25">
      <c r="A48" s="2" t="s">
        <v>115</v>
      </c>
      <c r="B48" s="2" t="s">
        <v>225</v>
      </c>
      <c r="C48" s="2" t="s">
        <v>12</v>
      </c>
      <c r="D48" s="10">
        <v>48.1</v>
      </c>
      <c r="E48" s="2" t="s">
        <v>358</v>
      </c>
      <c r="F48" s="2" t="s">
        <v>361</v>
      </c>
      <c r="G48" s="2" t="s">
        <v>424</v>
      </c>
      <c r="H48" s="3">
        <v>319.85</v>
      </c>
    </row>
    <row r="49" spans="1:8" x14ac:dyDescent="0.25">
      <c r="A49" s="2" t="s">
        <v>53</v>
      </c>
      <c r="B49" s="2" t="s">
        <v>230</v>
      </c>
      <c r="C49" s="2" t="s">
        <v>12</v>
      </c>
      <c r="D49" s="9">
        <v>-18</v>
      </c>
      <c r="E49" s="2" t="s">
        <v>358</v>
      </c>
      <c r="F49" s="2" t="s">
        <v>364</v>
      </c>
      <c r="G49" s="2" t="s">
        <v>425</v>
      </c>
      <c r="H49" s="3">
        <v>301.85</v>
      </c>
    </row>
    <row r="50" spans="1:8" x14ac:dyDescent="0.25">
      <c r="A50" s="2" t="s">
        <v>53</v>
      </c>
      <c r="B50" s="2" t="s">
        <v>227</v>
      </c>
      <c r="C50" s="2" t="s">
        <v>12</v>
      </c>
      <c r="D50" s="10">
        <v>59.8</v>
      </c>
      <c r="E50" s="2" t="s">
        <v>358</v>
      </c>
      <c r="F50" s="2" t="s">
        <v>361</v>
      </c>
      <c r="G50" s="2" t="s">
        <v>426</v>
      </c>
      <c r="H50" s="3">
        <v>361.65</v>
      </c>
    </row>
    <row r="51" spans="1:8" x14ac:dyDescent="0.25">
      <c r="A51" s="2" t="s">
        <v>53</v>
      </c>
      <c r="B51" s="2" t="s">
        <v>228</v>
      </c>
      <c r="C51" s="2" t="s">
        <v>12</v>
      </c>
      <c r="D51" s="10">
        <v>0.22</v>
      </c>
      <c r="E51" s="2" t="s">
        <v>358</v>
      </c>
      <c r="F51" s="2" t="s">
        <v>361</v>
      </c>
      <c r="G51" s="2" t="s">
        <v>427</v>
      </c>
      <c r="H51" s="3">
        <v>361.87</v>
      </c>
    </row>
    <row r="52" spans="1:8" x14ac:dyDescent="0.25">
      <c r="A52" s="2" t="s">
        <v>53</v>
      </c>
      <c r="B52" s="2" t="s">
        <v>229</v>
      </c>
      <c r="C52" s="2" t="s">
        <v>12</v>
      </c>
      <c r="D52" s="9">
        <v>-40</v>
      </c>
      <c r="E52" s="2" t="s">
        <v>358</v>
      </c>
      <c r="F52" s="2" t="s">
        <v>373</v>
      </c>
      <c r="G52" s="2" t="s">
        <v>428</v>
      </c>
      <c r="H52" s="3">
        <v>321.87</v>
      </c>
    </row>
    <row r="53" spans="1:8" x14ac:dyDescent="0.25">
      <c r="A53" s="2" t="s">
        <v>231</v>
      </c>
      <c r="B53" s="2" t="s">
        <v>235</v>
      </c>
      <c r="C53" s="2" t="s">
        <v>12</v>
      </c>
      <c r="D53" s="10">
        <v>63.76</v>
      </c>
      <c r="E53" s="2" t="s">
        <v>358</v>
      </c>
      <c r="F53" s="2" t="s">
        <v>361</v>
      </c>
      <c r="G53" s="2" t="s">
        <v>429</v>
      </c>
      <c r="H53" s="3">
        <v>385.63</v>
      </c>
    </row>
    <row r="54" spans="1:8" x14ac:dyDescent="0.25">
      <c r="A54" s="2" t="s">
        <v>231</v>
      </c>
      <c r="B54" s="2" t="s">
        <v>430</v>
      </c>
      <c r="C54" s="2" t="s">
        <v>12</v>
      </c>
      <c r="D54" s="9">
        <v>-21.99</v>
      </c>
      <c r="E54" s="2" t="s">
        <v>358</v>
      </c>
      <c r="F54" s="2" t="s">
        <v>361</v>
      </c>
      <c r="G54" s="2" t="s">
        <v>431</v>
      </c>
      <c r="H54" s="3">
        <v>363.64</v>
      </c>
    </row>
    <row r="55" spans="1:8" x14ac:dyDescent="0.25">
      <c r="C55" s="5" t="s">
        <v>432</v>
      </c>
      <c r="D55" s="6">
        <f>SUM(D2:D54)</f>
      </c>
    </row>
    <row r="56" spans="1:8" x14ac:dyDescent="0.25">
      <c r="A56" t="s">
        <v>12</v>
      </c>
      <c r="B56" s="11" t="s">
        <v>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3" customWidth="1"/>
    <col min="3" max="4" width="27" customWidth="1"/>
    <col min="5" max="5" width="34" customWidth="1"/>
    <col min="6" max="6" width="19" customWidth="1"/>
    <col min="7" max="7" width="44" customWidth="1"/>
    <col min="8" max="8" width="32" customWidth="1"/>
  </cols>
  <sheetData>
    <row r="1" ht="24" customHeight="1" spans="1:8" x14ac:dyDescent="0.25">
      <c r="A1" s="1" t="s">
        <v>0</v>
      </c>
      <c r="B1" s="1" t="s">
        <v>434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</row>
    <row r="2" spans="1:8" x14ac:dyDescent="0.25">
      <c r="A2" s="2" t="s">
        <v>9</v>
      </c>
      <c r="B2" s="2" t="s">
        <v>441</v>
      </c>
      <c r="C2" s="2" t="s">
        <v>442</v>
      </c>
      <c r="D2" s="3">
        <v>29.99</v>
      </c>
      <c r="E2" s="3">
        <v>1</v>
      </c>
      <c r="F2" s="3">
        <v>28.99</v>
      </c>
      <c r="G2" s="2" t="s">
        <v>12</v>
      </c>
      <c r="H2" s="2" t="s">
        <v>443</v>
      </c>
    </row>
    <row r="3" spans="1:8" x14ac:dyDescent="0.25">
      <c r="A3" s="2" t="s">
        <v>9</v>
      </c>
      <c r="B3" s="2" t="s">
        <v>444</v>
      </c>
      <c r="C3" s="2" t="s">
        <v>12</v>
      </c>
      <c r="D3" s="3">
        <v>0.15</v>
      </c>
      <c r="E3" s="3">
        <v>0</v>
      </c>
      <c r="F3" s="3">
        <v>0.15</v>
      </c>
      <c r="G3" s="2" t="s">
        <v>12</v>
      </c>
      <c r="H3" s="2" t="s">
        <v>445</v>
      </c>
    </row>
    <row r="4" spans="1:8" x14ac:dyDescent="0.25">
      <c r="A4" s="2" t="s">
        <v>133</v>
      </c>
      <c r="B4" s="2" t="s">
        <v>446</v>
      </c>
      <c r="C4" s="2" t="s">
        <v>12</v>
      </c>
      <c r="D4" s="3">
        <v>28.3</v>
      </c>
      <c r="E4" s="3">
        <v>0</v>
      </c>
      <c r="F4" s="3">
        <v>28.3</v>
      </c>
      <c r="G4" s="2" t="s">
        <v>447</v>
      </c>
      <c r="H4" s="2" t="s">
        <v>448</v>
      </c>
    </row>
    <row r="5" spans="1:8" x14ac:dyDescent="0.25">
      <c r="A5" s="2" t="s">
        <v>133</v>
      </c>
      <c r="B5" s="2" t="s">
        <v>449</v>
      </c>
      <c r="C5" s="2" t="s">
        <v>12</v>
      </c>
      <c r="D5" s="3">
        <v>28.3</v>
      </c>
      <c r="E5" s="3">
        <v>0</v>
      </c>
      <c r="F5" s="3">
        <v>28.3</v>
      </c>
      <c r="G5" s="2" t="s">
        <v>450</v>
      </c>
      <c r="H5" s="2" t="s">
        <v>448</v>
      </c>
    </row>
    <row r="6" spans="1:8" x14ac:dyDescent="0.25">
      <c r="A6" s="2" t="s">
        <v>137</v>
      </c>
      <c r="B6" s="2" t="s">
        <v>451</v>
      </c>
      <c r="C6" s="2" t="s">
        <v>12</v>
      </c>
      <c r="D6" s="3">
        <v>29.99</v>
      </c>
      <c r="E6" s="3">
        <v>0</v>
      </c>
      <c r="F6" s="3">
        <v>29.99</v>
      </c>
      <c r="G6" s="2" t="s">
        <v>12</v>
      </c>
      <c r="H6" s="2" t="s">
        <v>452</v>
      </c>
    </row>
    <row r="7" spans="1:8" x14ac:dyDescent="0.25">
      <c r="A7" s="2" t="s">
        <v>140</v>
      </c>
      <c r="B7" s="2" t="s">
        <v>453</v>
      </c>
      <c r="C7" s="2" t="s">
        <v>12</v>
      </c>
      <c r="D7" s="3">
        <v>141.84</v>
      </c>
      <c r="E7" s="3">
        <v>0</v>
      </c>
      <c r="F7" s="3">
        <v>141.84</v>
      </c>
      <c r="G7" s="2" t="s">
        <v>454</v>
      </c>
      <c r="H7" s="2" t="s">
        <v>448</v>
      </c>
    </row>
    <row r="8" spans="1:8" x14ac:dyDescent="0.25">
      <c r="A8" s="2" t="s">
        <v>140</v>
      </c>
      <c r="B8" s="2" t="s">
        <v>455</v>
      </c>
      <c r="C8" s="2" t="s">
        <v>12</v>
      </c>
      <c r="D8" s="3">
        <v>141.84</v>
      </c>
      <c r="E8" s="3">
        <v>0</v>
      </c>
      <c r="F8" s="3">
        <v>141.84</v>
      </c>
      <c r="G8" s="2" t="s">
        <v>456</v>
      </c>
      <c r="H8" s="2" t="s">
        <v>448</v>
      </c>
    </row>
    <row r="9" spans="1:8" x14ac:dyDescent="0.25">
      <c r="A9" s="2" t="s">
        <v>14</v>
      </c>
      <c r="B9" s="2" t="s">
        <v>457</v>
      </c>
      <c r="C9" s="2" t="s">
        <v>458</v>
      </c>
      <c r="D9" s="3">
        <v>29.99</v>
      </c>
      <c r="E9" s="3">
        <v>0.7</v>
      </c>
      <c r="F9" s="3">
        <v>29.29</v>
      </c>
      <c r="G9" s="2" t="s">
        <v>12</v>
      </c>
      <c r="H9" s="2" t="s">
        <v>443</v>
      </c>
    </row>
    <row r="10" spans="1:8" x14ac:dyDescent="0.25">
      <c r="A10" s="2" t="s">
        <v>14</v>
      </c>
      <c r="B10" s="2" t="s">
        <v>459</v>
      </c>
      <c r="C10" s="2" t="s">
        <v>12</v>
      </c>
      <c r="D10" s="3">
        <v>0.15</v>
      </c>
      <c r="E10" s="3">
        <v>0</v>
      </c>
      <c r="F10" s="3">
        <v>0.15</v>
      </c>
      <c r="G10" s="2" t="s">
        <v>12</v>
      </c>
      <c r="H10" s="2" t="s">
        <v>445</v>
      </c>
    </row>
    <row r="11" spans="1:8" x14ac:dyDescent="0.25">
      <c r="A11" s="2" t="s">
        <v>16</v>
      </c>
      <c r="B11" s="2" t="s">
        <v>460</v>
      </c>
      <c r="C11" s="2" t="s">
        <v>461</v>
      </c>
      <c r="D11" s="3">
        <v>39.99</v>
      </c>
      <c r="E11" s="3">
        <v>0.85</v>
      </c>
      <c r="F11" s="3">
        <v>39.14</v>
      </c>
      <c r="G11" s="2" t="s">
        <v>12</v>
      </c>
      <c r="H11" s="2" t="s">
        <v>443</v>
      </c>
    </row>
    <row r="12" spans="1:8" x14ac:dyDescent="0.25">
      <c r="A12" s="2" t="s">
        <v>16</v>
      </c>
      <c r="B12" s="2" t="s">
        <v>462</v>
      </c>
      <c r="C12" s="2" t="s">
        <v>12</v>
      </c>
      <c r="D12" s="3">
        <v>0.2</v>
      </c>
      <c r="E12" s="3">
        <v>0</v>
      </c>
      <c r="F12" s="3">
        <v>0.2</v>
      </c>
      <c r="G12" s="2" t="s">
        <v>12</v>
      </c>
      <c r="H12" s="2" t="s">
        <v>445</v>
      </c>
    </row>
    <row r="13" spans="1:8" x14ac:dyDescent="0.25">
      <c r="A13" s="2" t="s">
        <v>16</v>
      </c>
      <c r="B13" s="2" t="s">
        <v>463</v>
      </c>
      <c r="C13" s="2" t="s">
        <v>12</v>
      </c>
      <c r="D13" s="3">
        <v>0</v>
      </c>
      <c r="E13" s="3">
        <v>0.22</v>
      </c>
      <c r="F13" s="3">
        <v>0.22</v>
      </c>
      <c r="G13" s="2" t="s">
        <v>12</v>
      </c>
      <c r="H13" s="2" t="s">
        <v>464</v>
      </c>
    </row>
    <row r="14" spans="1:8" x14ac:dyDescent="0.25">
      <c r="A14" s="2" t="s">
        <v>156</v>
      </c>
      <c r="B14" s="2" t="s">
        <v>465</v>
      </c>
      <c r="C14" s="2" t="s">
        <v>12</v>
      </c>
      <c r="D14" s="3">
        <v>27.99</v>
      </c>
      <c r="E14" s="3">
        <v>0</v>
      </c>
      <c r="F14" s="3">
        <v>27.99</v>
      </c>
      <c r="G14" s="2" t="s">
        <v>466</v>
      </c>
      <c r="H14" s="2" t="s">
        <v>448</v>
      </c>
    </row>
    <row r="15" spans="1:8" x14ac:dyDescent="0.25">
      <c r="A15" s="2" t="s">
        <v>156</v>
      </c>
      <c r="B15" s="2" t="s">
        <v>467</v>
      </c>
      <c r="C15" s="2" t="s">
        <v>12</v>
      </c>
      <c r="D15" s="3">
        <v>27.99</v>
      </c>
      <c r="E15" s="3">
        <v>0</v>
      </c>
      <c r="F15" s="3">
        <v>27.99</v>
      </c>
      <c r="G15" s="2" t="s">
        <v>466</v>
      </c>
      <c r="H15" s="2" t="s">
        <v>448</v>
      </c>
    </row>
    <row r="16" spans="1:8" x14ac:dyDescent="0.25">
      <c r="A16" s="2" t="s">
        <v>160</v>
      </c>
      <c r="B16" s="2" t="s">
        <v>468</v>
      </c>
      <c r="C16" s="2" t="s">
        <v>12</v>
      </c>
      <c r="D16" s="3">
        <v>38.72</v>
      </c>
      <c r="E16" s="3">
        <v>0</v>
      </c>
      <c r="F16" s="3">
        <v>38.72</v>
      </c>
      <c r="G16" s="2" t="s">
        <v>469</v>
      </c>
      <c r="H16" s="2" t="s">
        <v>448</v>
      </c>
    </row>
    <row r="17" spans="1:8" x14ac:dyDescent="0.25">
      <c r="A17" s="2" t="s">
        <v>160</v>
      </c>
      <c r="B17" s="2" t="s">
        <v>470</v>
      </c>
      <c r="C17" s="2" t="s">
        <v>12</v>
      </c>
      <c r="D17" s="3">
        <v>38.72</v>
      </c>
      <c r="E17" s="3">
        <v>0</v>
      </c>
      <c r="F17" s="3">
        <v>38.72</v>
      </c>
      <c r="G17" s="2" t="s">
        <v>471</v>
      </c>
      <c r="H17" s="2" t="s">
        <v>448</v>
      </c>
    </row>
    <row r="18" spans="1:8" x14ac:dyDescent="0.25">
      <c r="A18" s="2" t="s">
        <v>20</v>
      </c>
      <c r="B18" s="2" t="s">
        <v>472</v>
      </c>
      <c r="C18" s="2" t="s">
        <v>473</v>
      </c>
      <c r="D18" s="3">
        <v>39.99</v>
      </c>
      <c r="E18" s="3">
        <v>0.85</v>
      </c>
      <c r="F18" s="3">
        <v>39.14</v>
      </c>
      <c r="G18" s="2" t="s">
        <v>12</v>
      </c>
      <c r="H18" s="2" t="s">
        <v>443</v>
      </c>
    </row>
    <row r="19" spans="1:8" x14ac:dyDescent="0.25">
      <c r="A19" s="2" t="s">
        <v>20</v>
      </c>
      <c r="B19" s="2" t="s">
        <v>474</v>
      </c>
      <c r="C19" s="2" t="s">
        <v>12</v>
      </c>
      <c r="D19" s="3">
        <v>0.2</v>
      </c>
      <c r="E19" s="3">
        <v>0</v>
      </c>
      <c r="F19" s="3">
        <v>0.2</v>
      </c>
      <c r="G19" s="2" t="s">
        <v>12</v>
      </c>
      <c r="H19" s="2" t="s">
        <v>445</v>
      </c>
    </row>
    <row r="20" spans="1:8" x14ac:dyDescent="0.25">
      <c r="A20" s="2" t="s">
        <v>22</v>
      </c>
      <c r="B20" s="2" t="s">
        <v>475</v>
      </c>
      <c r="C20" s="2" t="s">
        <v>476</v>
      </c>
      <c r="D20" s="3">
        <v>54.98</v>
      </c>
      <c r="E20" s="3">
        <v>1.07</v>
      </c>
      <c r="F20" s="3">
        <v>53.91</v>
      </c>
      <c r="G20" s="2" t="s">
        <v>12</v>
      </c>
      <c r="H20" s="2" t="s">
        <v>443</v>
      </c>
    </row>
    <row r="21" spans="1:8" x14ac:dyDescent="0.25">
      <c r="A21" s="2" t="s">
        <v>22</v>
      </c>
      <c r="B21" s="2" t="s">
        <v>477</v>
      </c>
      <c r="C21" s="2" t="s">
        <v>12</v>
      </c>
      <c r="D21" s="3">
        <v>0.27</v>
      </c>
      <c r="E21" s="3">
        <v>0</v>
      </c>
      <c r="F21" s="3">
        <v>0.27</v>
      </c>
      <c r="G21" s="2" t="s">
        <v>12</v>
      </c>
      <c r="H21" s="2" t="s">
        <v>445</v>
      </c>
    </row>
    <row r="22" spans="1:8" x14ac:dyDescent="0.25">
      <c r="A22" s="2" t="s">
        <v>24</v>
      </c>
      <c r="B22" s="2" t="s">
        <v>478</v>
      </c>
      <c r="C22" s="2" t="s">
        <v>479</v>
      </c>
      <c r="D22" s="3">
        <v>45.97</v>
      </c>
      <c r="E22" s="3">
        <v>0.94</v>
      </c>
      <c r="F22" s="3">
        <v>45.03</v>
      </c>
      <c r="G22" s="2" t="s">
        <v>12</v>
      </c>
      <c r="H22" s="2" t="s">
        <v>443</v>
      </c>
    </row>
    <row r="23" spans="1:8" x14ac:dyDescent="0.25">
      <c r="A23" s="2" t="s">
        <v>24</v>
      </c>
      <c r="B23" s="2" t="s">
        <v>480</v>
      </c>
      <c r="C23" s="2" t="s">
        <v>12</v>
      </c>
      <c r="D23" s="3">
        <v>0.23</v>
      </c>
      <c r="E23" s="3">
        <v>0</v>
      </c>
      <c r="F23" s="3">
        <v>0.23</v>
      </c>
      <c r="G23" s="2" t="s">
        <v>12</v>
      </c>
      <c r="H23" s="2" t="s">
        <v>445</v>
      </c>
    </row>
    <row r="24" spans="1:8" x14ac:dyDescent="0.25">
      <c r="A24" s="2" t="s">
        <v>81</v>
      </c>
      <c r="B24" s="2" t="s">
        <v>481</v>
      </c>
      <c r="C24" s="2" t="s">
        <v>12</v>
      </c>
      <c r="D24" s="3">
        <v>38.94</v>
      </c>
      <c r="E24" s="3">
        <v>0</v>
      </c>
      <c r="F24" s="3">
        <v>38.94</v>
      </c>
      <c r="G24" s="2" t="s">
        <v>482</v>
      </c>
      <c r="H24" s="2" t="s">
        <v>448</v>
      </c>
    </row>
    <row r="25" spans="1:8" x14ac:dyDescent="0.25">
      <c r="A25" s="2" t="s">
        <v>81</v>
      </c>
      <c r="B25" s="2" t="s">
        <v>483</v>
      </c>
      <c r="C25" s="2" t="s">
        <v>12</v>
      </c>
      <c r="D25" s="3">
        <v>38.94</v>
      </c>
      <c r="E25" s="3">
        <v>0</v>
      </c>
      <c r="F25" s="3">
        <v>38.94</v>
      </c>
      <c r="G25" s="2" t="s">
        <v>482</v>
      </c>
      <c r="H25" s="2" t="s">
        <v>448</v>
      </c>
    </row>
    <row r="26" spans="1:8" x14ac:dyDescent="0.25">
      <c r="A26" s="2" t="s">
        <v>26</v>
      </c>
      <c r="B26" s="2" t="s">
        <v>484</v>
      </c>
      <c r="C26" s="2" t="s">
        <v>29</v>
      </c>
      <c r="D26" s="3">
        <v>284.9</v>
      </c>
      <c r="E26" s="3">
        <v>4.52</v>
      </c>
      <c r="F26" s="3">
        <v>280.38</v>
      </c>
      <c r="G26" s="2" t="s">
        <v>12</v>
      </c>
      <c r="H26" s="2" t="s">
        <v>443</v>
      </c>
    </row>
    <row r="27" spans="1:8" x14ac:dyDescent="0.25">
      <c r="A27" s="2" t="s">
        <v>26</v>
      </c>
      <c r="B27" s="2" t="s">
        <v>485</v>
      </c>
      <c r="C27" s="2" t="s">
        <v>12</v>
      </c>
      <c r="D27" s="3">
        <v>1.42</v>
      </c>
      <c r="E27" s="3">
        <v>0</v>
      </c>
      <c r="F27" s="3">
        <v>1.42</v>
      </c>
      <c r="G27" s="2" t="s">
        <v>12</v>
      </c>
      <c r="H27" s="2" t="s">
        <v>445</v>
      </c>
    </row>
    <row r="28" spans="1:8" x14ac:dyDescent="0.25">
      <c r="A28" s="2" t="s">
        <v>26</v>
      </c>
      <c r="B28" s="2" t="s">
        <v>486</v>
      </c>
      <c r="C28" s="2" t="s">
        <v>12</v>
      </c>
      <c r="D28" s="3">
        <v>0</v>
      </c>
      <c r="E28" s="3">
        <v>0.21</v>
      </c>
      <c r="F28" s="3">
        <v>0.21</v>
      </c>
      <c r="G28" s="2" t="s">
        <v>12</v>
      </c>
      <c r="H28" s="2" t="s">
        <v>464</v>
      </c>
    </row>
    <row r="29" spans="1:8" x14ac:dyDescent="0.25">
      <c r="A29" s="2" t="s">
        <v>169</v>
      </c>
      <c r="B29" s="2" t="s">
        <v>487</v>
      </c>
      <c r="C29" s="2" t="s">
        <v>12</v>
      </c>
      <c r="D29" s="3">
        <v>53.64</v>
      </c>
      <c r="E29" s="3">
        <v>0</v>
      </c>
      <c r="F29" s="3">
        <v>53.64</v>
      </c>
      <c r="G29" s="2" t="s">
        <v>488</v>
      </c>
      <c r="H29" s="2" t="s">
        <v>448</v>
      </c>
    </row>
    <row r="30" spans="1:8" x14ac:dyDescent="0.25">
      <c r="A30" s="2" t="s">
        <v>169</v>
      </c>
      <c r="B30" s="2" t="s">
        <v>489</v>
      </c>
      <c r="C30" s="2" t="s">
        <v>12</v>
      </c>
      <c r="D30" s="3">
        <v>53.64</v>
      </c>
      <c r="E30" s="3">
        <v>0</v>
      </c>
      <c r="F30" s="3">
        <v>53.64</v>
      </c>
      <c r="G30" s="2" t="s">
        <v>488</v>
      </c>
      <c r="H30" s="2" t="s">
        <v>448</v>
      </c>
    </row>
    <row r="31" spans="1:8" x14ac:dyDescent="0.25">
      <c r="A31" s="2" t="s">
        <v>90</v>
      </c>
      <c r="B31" s="2" t="s">
        <v>490</v>
      </c>
      <c r="C31" s="2" t="s">
        <v>12</v>
      </c>
      <c r="D31" s="3">
        <v>44.8</v>
      </c>
      <c r="E31" s="3">
        <v>0</v>
      </c>
      <c r="F31" s="3">
        <v>44.8</v>
      </c>
      <c r="G31" s="2" t="s">
        <v>491</v>
      </c>
      <c r="H31" s="2" t="s">
        <v>448</v>
      </c>
    </row>
    <row r="32" spans="1:8" x14ac:dyDescent="0.25">
      <c r="A32" s="2" t="s">
        <v>90</v>
      </c>
      <c r="B32" s="2" t="s">
        <v>492</v>
      </c>
      <c r="C32" s="2" t="s">
        <v>12</v>
      </c>
      <c r="D32" s="3">
        <v>44.8</v>
      </c>
      <c r="E32" s="3">
        <v>0</v>
      </c>
      <c r="F32" s="3">
        <v>44.8</v>
      </c>
      <c r="G32" s="2" t="s">
        <v>493</v>
      </c>
      <c r="H32" s="2" t="s">
        <v>448</v>
      </c>
    </row>
    <row r="33" spans="1:8" x14ac:dyDescent="0.25">
      <c r="A33" s="2" t="s">
        <v>179</v>
      </c>
      <c r="B33" s="2" t="s">
        <v>494</v>
      </c>
      <c r="C33" s="2" t="s">
        <v>12</v>
      </c>
      <c r="D33" s="3">
        <v>278.75</v>
      </c>
      <c r="E33" s="3">
        <v>0</v>
      </c>
      <c r="F33" s="3">
        <v>278.75</v>
      </c>
      <c r="G33" s="2" t="s">
        <v>495</v>
      </c>
      <c r="H33" s="2" t="s">
        <v>448</v>
      </c>
    </row>
    <row r="34" spans="1:8" x14ac:dyDescent="0.25">
      <c r="A34" s="2" t="s">
        <v>179</v>
      </c>
      <c r="B34" s="2" t="s">
        <v>496</v>
      </c>
      <c r="C34" s="2" t="s">
        <v>12</v>
      </c>
      <c r="D34" s="3">
        <v>278.75</v>
      </c>
      <c r="E34" s="3">
        <v>0</v>
      </c>
      <c r="F34" s="3">
        <v>278.75</v>
      </c>
      <c r="G34" s="2" t="s">
        <v>495</v>
      </c>
      <c r="H34" s="2" t="s">
        <v>448</v>
      </c>
    </row>
    <row r="35" spans="1:8" x14ac:dyDescent="0.25">
      <c r="A35" s="2" t="s">
        <v>30</v>
      </c>
      <c r="B35" s="2" t="s">
        <v>497</v>
      </c>
      <c r="C35" s="2" t="s">
        <v>12</v>
      </c>
      <c r="D35" s="3">
        <v>29.99</v>
      </c>
      <c r="E35" s="3">
        <v>0.82</v>
      </c>
      <c r="F35" s="3">
        <v>29.17</v>
      </c>
      <c r="G35" s="2" t="s">
        <v>12</v>
      </c>
      <c r="H35" s="2" t="s">
        <v>443</v>
      </c>
    </row>
    <row r="36" spans="1:8" x14ac:dyDescent="0.25">
      <c r="A36" s="2" t="s">
        <v>30</v>
      </c>
      <c r="B36" s="2" t="s">
        <v>498</v>
      </c>
      <c r="C36" s="2" t="s">
        <v>12</v>
      </c>
      <c r="D36" s="3">
        <v>29.99</v>
      </c>
      <c r="E36" s="3">
        <v>0.82</v>
      </c>
      <c r="F36" s="3">
        <v>29.17</v>
      </c>
      <c r="G36" s="2" t="s">
        <v>12</v>
      </c>
      <c r="H36" s="2" t="s">
        <v>443</v>
      </c>
    </row>
    <row r="37" spans="1:8" x14ac:dyDescent="0.25">
      <c r="A37" s="2" t="s">
        <v>33</v>
      </c>
      <c r="B37" s="2" t="s">
        <v>499</v>
      </c>
      <c r="C37" s="2" t="s">
        <v>12</v>
      </c>
      <c r="D37" s="3">
        <v>0</v>
      </c>
      <c r="E37" s="3">
        <v>0.2</v>
      </c>
      <c r="F37" s="3">
        <v>0.2</v>
      </c>
      <c r="G37" s="2" t="s">
        <v>12</v>
      </c>
      <c r="H37" s="2" t="s">
        <v>464</v>
      </c>
    </row>
    <row r="38" spans="1:8" x14ac:dyDescent="0.25">
      <c r="A38" s="2" t="s">
        <v>186</v>
      </c>
      <c r="B38" s="2" t="s">
        <v>500</v>
      </c>
      <c r="C38" s="2" t="s">
        <v>12</v>
      </c>
      <c r="D38" s="3">
        <v>29.17</v>
      </c>
      <c r="E38" s="3">
        <v>0</v>
      </c>
      <c r="F38" s="3">
        <v>29.17</v>
      </c>
      <c r="G38" s="2" t="s">
        <v>501</v>
      </c>
      <c r="H38" s="2" t="s">
        <v>502</v>
      </c>
    </row>
    <row r="39" spans="1:8" x14ac:dyDescent="0.25">
      <c r="A39" s="2" t="s">
        <v>186</v>
      </c>
      <c r="B39" s="2" t="s">
        <v>503</v>
      </c>
      <c r="C39" s="2" t="s">
        <v>12</v>
      </c>
      <c r="D39" s="3">
        <v>29.17</v>
      </c>
      <c r="E39" s="3">
        <v>0</v>
      </c>
      <c r="F39" s="3">
        <v>29.17</v>
      </c>
      <c r="G39" s="2" t="s">
        <v>501</v>
      </c>
      <c r="H39" s="2" t="s">
        <v>502</v>
      </c>
    </row>
    <row r="40" spans="1:8" x14ac:dyDescent="0.25">
      <c r="A40" s="2" t="s">
        <v>186</v>
      </c>
      <c r="B40" s="2" t="s">
        <v>504</v>
      </c>
      <c r="C40" s="2" t="s">
        <v>12</v>
      </c>
      <c r="D40" s="3">
        <v>29.17</v>
      </c>
      <c r="E40" s="3">
        <v>0</v>
      </c>
      <c r="F40" s="3">
        <v>29.17</v>
      </c>
      <c r="G40" s="2" t="s">
        <v>501</v>
      </c>
      <c r="H40" s="2" t="s">
        <v>505</v>
      </c>
    </row>
    <row r="41" spans="1:8" x14ac:dyDescent="0.25">
      <c r="A41" s="2" t="s">
        <v>186</v>
      </c>
      <c r="B41" s="2" t="s">
        <v>506</v>
      </c>
      <c r="C41" s="2" t="s">
        <v>12</v>
      </c>
      <c r="D41" s="3">
        <v>29.17</v>
      </c>
      <c r="E41" s="3">
        <v>0</v>
      </c>
      <c r="F41" s="3">
        <v>29.17</v>
      </c>
      <c r="G41" s="2" t="s">
        <v>501</v>
      </c>
      <c r="H41" s="2" t="s">
        <v>505</v>
      </c>
    </row>
    <row r="42" spans="1:8" x14ac:dyDescent="0.25">
      <c r="A42" s="2" t="s">
        <v>186</v>
      </c>
      <c r="B42" s="2" t="s">
        <v>507</v>
      </c>
      <c r="C42" s="2" t="s">
        <v>12</v>
      </c>
      <c r="D42" s="3">
        <v>0</v>
      </c>
      <c r="E42" s="3">
        <v>0</v>
      </c>
      <c r="F42" s="3">
        <v>0</v>
      </c>
      <c r="G42" s="2" t="s">
        <v>501</v>
      </c>
      <c r="H42" s="2" t="s">
        <v>448</v>
      </c>
    </row>
    <row r="43" spans="1:8" x14ac:dyDescent="0.25">
      <c r="A43" s="2" t="s">
        <v>186</v>
      </c>
      <c r="B43" s="2" t="s">
        <v>508</v>
      </c>
      <c r="C43" s="2" t="s">
        <v>12</v>
      </c>
      <c r="D43" s="3">
        <v>0</v>
      </c>
      <c r="E43" s="3">
        <v>0</v>
      </c>
      <c r="F43" s="3">
        <v>0</v>
      </c>
      <c r="G43" s="2" t="s">
        <v>509</v>
      </c>
      <c r="H43" s="2" t="s">
        <v>448</v>
      </c>
    </row>
    <row r="44" spans="1:8" x14ac:dyDescent="0.25">
      <c r="A44" s="2" t="s">
        <v>186</v>
      </c>
      <c r="B44" s="2" t="s">
        <v>510</v>
      </c>
      <c r="C44" s="2" t="s">
        <v>12</v>
      </c>
      <c r="D44" s="3">
        <v>0</v>
      </c>
      <c r="E44" s="3">
        <v>0</v>
      </c>
      <c r="F44" s="3">
        <v>0</v>
      </c>
      <c r="G44" s="2" t="s">
        <v>501</v>
      </c>
      <c r="H44" s="2" t="s">
        <v>448</v>
      </c>
    </row>
    <row r="45" spans="1:8" x14ac:dyDescent="0.25">
      <c r="A45" s="2" t="s">
        <v>186</v>
      </c>
      <c r="B45" s="2" t="s">
        <v>511</v>
      </c>
      <c r="C45" s="2" t="s">
        <v>12</v>
      </c>
      <c r="D45" s="3">
        <v>0</v>
      </c>
      <c r="E45" s="3">
        <v>0</v>
      </c>
      <c r="F45" s="3">
        <v>0</v>
      </c>
      <c r="G45" s="2" t="s">
        <v>501</v>
      </c>
      <c r="H45" s="2" t="s">
        <v>448</v>
      </c>
    </row>
    <row r="46" spans="1:8" x14ac:dyDescent="0.25">
      <c r="A46" s="2" t="s">
        <v>35</v>
      </c>
      <c r="B46" s="2" t="s">
        <v>512</v>
      </c>
      <c r="C46" s="2" t="s">
        <v>12</v>
      </c>
      <c r="D46" s="3">
        <v>34.99</v>
      </c>
      <c r="E46" s="3">
        <v>0.77</v>
      </c>
      <c r="F46" s="3">
        <v>34.22</v>
      </c>
      <c r="G46" s="2" t="s">
        <v>12</v>
      </c>
      <c r="H46" s="2" t="s">
        <v>443</v>
      </c>
    </row>
    <row r="47" spans="1:8" x14ac:dyDescent="0.25">
      <c r="A47" s="2" t="s">
        <v>35</v>
      </c>
      <c r="B47" s="2" t="s">
        <v>513</v>
      </c>
      <c r="C47" s="2" t="s">
        <v>12</v>
      </c>
      <c r="D47" s="3">
        <v>34.99</v>
      </c>
      <c r="E47" s="3">
        <v>0.77</v>
      </c>
      <c r="F47" s="3">
        <v>34.22</v>
      </c>
      <c r="G47" s="2" t="s">
        <v>12</v>
      </c>
      <c r="H47" s="2" t="s">
        <v>443</v>
      </c>
    </row>
    <row r="48" spans="1:8" x14ac:dyDescent="0.25">
      <c r="A48" s="2" t="s">
        <v>37</v>
      </c>
      <c r="B48" s="2" t="s">
        <v>514</v>
      </c>
      <c r="C48" s="2" t="s">
        <v>12</v>
      </c>
      <c r="D48" s="3">
        <v>31.48</v>
      </c>
      <c r="E48" s="3">
        <v>1.58</v>
      </c>
      <c r="F48" s="3">
        <v>29.9</v>
      </c>
      <c r="G48" s="2" t="s">
        <v>12</v>
      </c>
      <c r="H48" s="2" t="s">
        <v>464</v>
      </c>
    </row>
    <row r="49" spans="1:8" x14ac:dyDescent="0.25">
      <c r="A49" s="2" t="s">
        <v>37</v>
      </c>
      <c r="B49" s="2" t="s">
        <v>515</v>
      </c>
      <c r="C49" s="2" t="s">
        <v>12</v>
      </c>
      <c r="D49" s="3">
        <v>31.48</v>
      </c>
      <c r="E49" s="3">
        <v>1.58</v>
      </c>
      <c r="F49" s="3">
        <v>29.9</v>
      </c>
      <c r="G49" s="2" t="s">
        <v>12</v>
      </c>
      <c r="H49" s="2" t="s">
        <v>464</v>
      </c>
    </row>
    <row r="50" spans="1:8" x14ac:dyDescent="0.25">
      <c r="A50" s="2" t="s">
        <v>37</v>
      </c>
      <c r="B50" s="2" t="s">
        <v>516</v>
      </c>
      <c r="C50" s="2" t="s">
        <v>12</v>
      </c>
      <c r="D50" s="3">
        <v>31.48</v>
      </c>
      <c r="E50" s="3">
        <v>1.58</v>
      </c>
      <c r="F50" s="3">
        <v>29.9</v>
      </c>
      <c r="G50" s="2" t="s">
        <v>12</v>
      </c>
      <c r="H50" s="2" t="s">
        <v>464</v>
      </c>
    </row>
    <row r="51" spans="1:8" x14ac:dyDescent="0.25">
      <c r="A51" s="2" t="s">
        <v>37</v>
      </c>
      <c r="B51" s="2" t="s">
        <v>517</v>
      </c>
      <c r="C51" s="2" t="s">
        <v>12</v>
      </c>
      <c r="D51" s="3">
        <v>31.48</v>
      </c>
      <c r="E51" s="3">
        <v>1.58</v>
      </c>
      <c r="F51" s="3">
        <v>29.9</v>
      </c>
      <c r="G51" s="2" t="s">
        <v>12</v>
      </c>
      <c r="H51" s="2" t="s">
        <v>464</v>
      </c>
    </row>
    <row r="52" spans="1:8" x14ac:dyDescent="0.25">
      <c r="A52" s="2" t="s">
        <v>191</v>
      </c>
      <c r="B52" s="2" t="s">
        <v>518</v>
      </c>
      <c r="C52" s="2" t="s">
        <v>12</v>
      </c>
      <c r="D52" s="3">
        <v>63.39</v>
      </c>
      <c r="E52" s="3">
        <v>0</v>
      </c>
      <c r="F52" s="3">
        <v>63.39</v>
      </c>
      <c r="G52" s="2" t="s">
        <v>519</v>
      </c>
      <c r="H52" s="2" t="s">
        <v>502</v>
      </c>
    </row>
    <row r="53" spans="1:8" x14ac:dyDescent="0.25">
      <c r="A53" s="2" t="s">
        <v>191</v>
      </c>
      <c r="B53" s="2" t="s">
        <v>520</v>
      </c>
      <c r="C53" s="2" t="s">
        <v>12</v>
      </c>
      <c r="D53" s="3">
        <v>63.39</v>
      </c>
      <c r="E53" s="3">
        <v>0</v>
      </c>
      <c r="F53" s="3">
        <v>63.39</v>
      </c>
      <c r="G53" s="2" t="s">
        <v>519</v>
      </c>
      <c r="H53" s="2" t="s">
        <v>502</v>
      </c>
    </row>
    <row r="54" spans="1:8" x14ac:dyDescent="0.25">
      <c r="A54" s="2" t="s">
        <v>191</v>
      </c>
      <c r="B54" s="2" t="s">
        <v>521</v>
      </c>
      <c r="C54" s="2" t="s">
        <v>12</v>
      </c>
      <c r="D54" s="3">
        <v>63.39</v>
      </c>
      <c r="E54" s="3">
        <v>0</v>
      </c>
      <c r="F54" s="3">
        <v>63.39</v>
      </c>
      <c r="G54" s="2" t="s">
        <v>519</v>
      </c>
      <c r="H54" s="2" t="s">
        <v>505</v>
      </c>
    </row>
    <row r="55" spans="1:8" x14ac:dyDescent="0.25">
      <c r="A55" s="2" t="s">
        <v>191</v>
      </c>
      <c r="B55" s="2" t="s">
        <v>522</v>
      </c>
      <c r="C55" s="2" t="s">
        <v>12</v>
      </c>
      <c r="D55" s="3">
        <v>63.39</v>
      </c>
      <c r="E55" s="3">
        <v>0</v>
      </c>
      <c r="F55" s="3">
        <v>63.39</v>
      </c>
      <c r="G55" s="2" t="s">
        <v>519</v>
      </c>
      <c r="H55" s="2" t="s">
        <v>505</v>
      </c>
    </row>
    <row r="56" spans="1:8" x14ac:dyDescent="0.25">
      <c r="A56" s="2" t="s">
        <v>191</v>
      </c>
      <c r="B56" s="2" t="s">
        <v>523</v>
      </c>
      <c r="C56" s="2" t="s">
        <v>12</v>
      </c>
      <c r="D56" s="3">
        <v>0</v>
      </c>
      <c r="E56" s="3">
        <v>0</v>
      </c>
      <c r="F56" s="3">
        <v>0</v>
      </c>
      <c r="G56" s="2" t="s">
        <v>519</v>
      </c>
      <c r="H56" s="2" t="s">
        <v>448</v>
      </c>
    </row>
    <row r="57" spans="1:8" x14ac:dyDescent="0.25">
      <c r="A57" s="2" t="s">
        <v>191</v>
      </c>
      <c r="B57" s="2" t="s">
        <v>524</v>
      </c>
      <c r="C57" s="2" t="s">
        <v>12</v>
      </c>
      <c r="D57" s="3">
        <v>0</v>
      </c>
      <c r="E57" s="3">
        <v>0</v>
      </c>
      <c r="F57" s="3">
        <v>0</v>
      </c>
      <c r="G57" s="2" t="s">
        <v>519</v>
      </c>
      <c r="H57" s="2" t="s">
        <v>448</v>
      </c>
    </row>
    <row r="58" spans="1:8" x14ac:dyDescent="0.25">
      <c r="A58" s="2" t="s">
        <v>191</v>
      </c>
      <c r="B58" s="2" t="s">
        <v>525</v>
      </c>
      <c r="C58" s="2" t="s">
        <v>12</v>
      </c>
      <c r="D58" s="3">
        <v>0</v>
      </c>
      <c r="E58" s="3">
        <v>0</v>
      </c>
      <c r="F58" s="3">
        <v>0</v>
      </c>
      <c r="G58" s="2" t="s">
        <v>526</v>
      </c>
      <c r="H58" s="2" t="s">
        <v>448</v>
      </c>
    </row>
    <row r="59" spans="1:8" x14ac:dyDescent="0.25">
      <c r="A59" s="2" t="s">
        <v>191</v>
      </c>
      <c r="B59" s="2" t="s">
        <v>527</v>
      </c>
      <c r="C59" s="2" t="s">
        <v>12</v>
      </c>
      <c r="D59" s="3">
        <v>0</v>
      </c>
      <c r="E59" s="3">
        <v>0</v>
      </c>
      <c r="F59" s="3">
        <v>0</v>
      </c>
      <c r="G59" s="2" t="s">
        <v>519</v>
      </c>
      <c r="H59" s="2" t="s">
        <v>448</v>
      </c>
    </row>
    <row r="60" spans="1:8" x14ac:dyDescent="0.25">
      <c r="A60" s="2" t="s">
        <v>40</v>
      </c>
      <c r="B60" s="2" t="s">
        <v>528</v>
      </c>
      <c r="C60" s="2" t="s">
        <v>12</v>
      </c>
      <c r="D60" s="3">
        <v>32.48</v>
      </c>
      <c r="E60" s="3">
        <v>1.61</v>
      </c>
      <c r="F60" s="3">
        <v>30.87</v>
      </c>
      <c r="G60" s="2" t="s">
        <v>12</v>
      </c>
      <c r="H60" s="2" t="s">
        <v>464</v>
      </c>
    </row>
    <row r="61" spans="1:8" x14ac:dyDescent="0.25">
      <c r="A61" s="2" t="s">
        <v>40</v>
      </c>
      <c r="B61" s="2" t="s">
        <v>529</v>
      </c>
      <c r="C61" s="2" t="s">
        <v>12</v>
      </c>
      <c r="D61" s="3">
        <v>32.48</v>
      </c>
      <c r="E61" s="3">
        <v>1.61</v>
      </c>
      <c r="F61" s="3">
        <v>30.87</v>
      </c>
      <c r="G61" s="2" t="s">
        <v>12</v>
      </c>
      <c r="H61" s="2" t="s">
        <v>464</v>
      </c>
    </row>
    <row r="62" spans="1:8" x14ac:dyDescent="0.25">
      <c r="A62" s="2" t="s">
        <v>42</v>
      </c>
      <c r="B62" s="2" t="s">
        <v>530</v>
      </c>
      <c r="C62" s="2" t="s">
        <v>12</v>
      </c>
      <c r="D62" s="3">
        <v>100</v>
      </c>
      <c r="E62" s="3">
        <v>0</v>
      </c>
      <c r="F62" s="3">
        <v>100</v>
      </c>
      <c r="G62" s="2" t="s">
        <v>531</v>
      </c>
      <c r="H62" s="2" t="s">
        <v>505</v>
      </c>
    </row>
    <row r="63" spans="1:8" x14ac:dyDescent="0.25">
      <c r="A63" s="2" t="s">
        <v>42</v>
      </c>
      <c r="B63" s="2" t="s">
        <v>532</v>
      </c>
      <c r="C63" s="2" t="s">
        <v>12</v>
      </c>
      <c r="D63" s="3">
        <v>100</v>
      </c>
      <c r="E63" s="3">
        <v>0</v>
      </c>
      <c r="F63" s="3">
        <v>100</v>
      </c>
      <c r="G63" s="2" t="s">
        <v>531</v>
      </c>
      <c r="H63" s="2" t="s">
        <v>505</v>
      </c>
    </row>
    <row r="64" spans="1:8" x14ac:dyDescent="0.25">
      <c r="A64" s="2" t="s">
        <v>42</v>
      </c>
      <c r="B64" s="2" t="s">
        <v>533</v>
      </c>
      <c r="C64" s="2" t="s">
        <v>12</v>
      </c>
      <c r="D64" s="3">
        <v>100</v>
      </c>
      <c r="E64" s="3">
        <v>0</v>
      </c>
      <c r="F64" s="3">
        <v>100</v>
      </c>
      <c r="G64" s="2" t="s">
        <v>531</v>
      </c>
      <c r="H64" s="2" t="s">
        <v>502</v>
      </c>
    </row>
    <row r="65" spans="1:8" x14ac:dyDescent="0.25">
      <c r="A65" s="2" t="s">
        <v>42</v>
      </c>
      <c r="B65" s="2" t="s">
        <v>534</v>
      </c>
      <c r="C65" s="2" t="s">
        <v>12</v>
      </c>
      <c r="D65" s="3">
        <v>100</v>
      </c>
      <c r="E65" s="3">
        <v>0</v>
      </c>
      <c r="F65" s="3">
        <v>100</v>
      </c>
      <c r="G65" s="2" t="s">
        <v>531</v>
      </c>
      <c r="H65" s="2" t="s">
        <v>502</v>
      </c>
    </row>
    <row r="66" spans="1:8" x14ac:dyDescent="0.25">
      <c r="A66" s="2" t="s">
        <v>42</v>
      </c>
      <c r="B66" s="2" t="s">
        <v>535</v>
      </c>
      <c r="C66" s="2" t="s">
        <v>12</v>
      </c>
      <c r="D66" s="3">
        <v>23.19</v>
      </c>
      <c r="E66" s="3">
        <v>0</v>
      </c>
      <c r="F66" s="3">
        <v>23.19</v>
      </c>
      <c r="G66" s="2" t="s">
        <v>536</v>
      </c>
      <c r="H66" s="2" t="s">
        <v>448</v>
      </c>
    </row>
    <row r="67" spans="1:8" x14ac:dyDescent="0.25">
      <c r="A67" s="2" t="s">
        <v>42</v>
      </c>
      <c r="B67" s="2" t="s">
        <v>394</v>
      </c>
      <c r="C67" s="2" t="s">
        <v>12</v>
      </c>
      <c r="D67" s="3">
        <v>23.19</v>
      </c>
      <c r="E67" s="3">
        <v>0</v>
      </c>
      <c r="F67" s="3">
        <v>23.19</v>
      </c>
      <c r="G67" s="2" t="s">
        <v>531</v>
      </c>
      <c r="H67" s="2" t="s">
        <v>448</v>
      </c>
    </row>
    <row r="68" spans="1:8" x14ac:dyDescent="0.25">
      <c r="A68" s="2" t="s">
        <v>42</v>
      </c>
      <c r="B68" s="2" t="s">
        <v>537</v>
      </c>
      <c r="C68" s="2" t="s">
        <v>12</v>
      </c>
      <c r="D68" s="3">
        <v>23.19</v>
      </c>
      <c r="E68" s="3">
        <v>0</v>
      </c>
      <c r="F68" s="3">
        <v>23.19</v>
      </c>
      <c r="G68" s="2" t="s">
        <v>531</v>
      </c>
      <c r="H68" s="2" t="s">
        <v>448</v>
      </c>
    </row>
    <row r="69" spans="1:8" x14ac:dyDescent="0.25">
      <c r="A69" s="2" t="s">
        <v>42</v>
      </c>
      <c r="B69" s="2" t="s">
        <v>538</v>
      </c>
      <c r="C69" s="2" t="s">
        <v>12</v>
      </c>
      <c r="D69" s="3">
        <v>23.19</v>
      </c>
      <c r="E69" s="3">
        <v>0</v>
      </c>
      <c r="F69" s="3">
        <v>23.19</v>
      </c>
      <c r="G69" s="2" t="s">
        <v>531</v>
      </c>
      <c r="H69" s="2" t="s">
        <v>448</v>
      </c>
    </row>
    <row r="70" spans="1:8" x14ac:dyDescent="0.25">
      <c r="A70" s="2" t="s">
        <v>42</v>
      </c>
      <c r="B70" s="2" t="s">
        <v>539</v>
      </c>
      <c r="C70" s="2" t="s">
        <v>540</v>
      </c>
      <c r="D70" s="3">
        <v>84.98</v>
      </c>
      <c r="E70" s="3">
        <v>1.52</v>
      </c>
      <c r="F70" s="3">
        <v>83.46</v>
      </c>
      <c r="G70" s="2" t="s">
        <v>531</v>
      </c>
      <c r="H70" s="2" t="s">
        <v>443</v>
      </c>
    </row>
    <row r="71" spans="1:8" x14ac:dyDescent="0.25">
      <c r="A71" s="2" t="s">
        <v>42</v>
      </c>
      <c r="B71" s="2" t="s">
        <v>541</v>
      </c>
      <c r="C71" s="2" t="s">
        <v>12</v>
      </c>
      <c r="D71" s="3">
        <v>0.42</v>
      </c>
      <c r="E71" s="3">
        <v>0</v>
      </c>
      <c r="F71" s="3">
        <v>0.42</v>
      </c>
      <c r="G71" s="2" t="s">
        <v>531</v>
      </c>
      <c r="H71" s="2" t="s">
        <v>445</v>
      </c>
    </row>
    <row r="72" spans="1:8" x14ac:dyDescent="0.25">
      <c r="A72" s="2" t="s">
        <v>542</v>
      </c>
      <c r="B72" s="2" t="s">
        <v>543</v>
      </c>
      <c r="C72" s="2" t="s">
        <v>12</v>
      </c>
      <c r="D72" s="3">
        <v>0.21</v>
      </c>
      <c r="E72" s="3">
        <v>0</v>
      </c>
      <c r="F72" s="3">
        <v>0.21</v>
      </c>
      <c r="G72" s="2" t="s">
        <v>12</v>
      </c>
      <c r="H72" s="2" t="s">
        <v>544</v>
      </c>
    </row>
    <row r="73" spans="1:8" x14ac:dyDescent="0.25">
      <c r="A73" s="2" t="s">
        <v>198</v>
      </c>
      <c r="B73" s="2" t="s">
        <v>545</v>
      </c>
      <c r="C73" s="2" t="s">
        <v>12</v>
      </c>
      <c r="D73" s="3">
        <v>82.63</v>
      </c>
      <c r="E73" s="3">
        <v>0</v>
      </c>
      <c r="F73" s="3">
        <v>82.63</v>
      </c>
      <c r="G73" s="2" t="s">
        <v>546</v>
      </c>
      <c r="H73" s="2" t="s">
        <v>448</v>
      </c>
    </row>
    <row r="74" spans="1:8" x14ac:dyDescent="0.25">
      <c r="A74" s="2" t="s">
        <v>198</v>
      </c>
      <c r="B74" s="2" t="s">
        <v>547</v>
      </c>
      <c r="C74" s="2" t="s">
        <v>12</v>
      </c>
      <c r="D74" s="3">
        <v>82.63</v>
      </c>
      <c r="E74" s="3">
        <v>0</v>
      </c>
      <c r="F74" s="3">
        <v>82.63</v>
      </c>
      <c r="G74" s="2" t="s">
        <v>548</v>
      </c>
      <c r="H74" s="2" t="s">
        <v>448</v>
      </c>
    </row>
    <row r="75" spans="1:8" x14ac:dyDescent="0.25">
      <c r="A75" s="2" t="s">
        <v>198</v>
      </c>
      <c r="B75" s="2" t="s">
        <v>549</v>
      </c>
      <c r="C75" s="2" t="s">
        <v>12</v>
      </c>
      <c r="D75" s="3">
        <v>100</v>
      </c>
      <c r="E75" s="3">
        <v>0</v>
      </c>
      <c r="F75" s="3">
        <v>100</v>
      </c>
      <c r="G75" s="2" t="s">
        <v>546</v>
      </c>
      <c r="H75" s="2" t="s">
        <v>502</v>
      </c>
    </row>
    <row r="76" spans="1:8" x14ac:dyDescent="0.25">
      <c r="A76" s="2" t="s">
        <v>198</v>
      </c>
      <c r="B76" s="2" t="s">
        <v>550</v>
      </c>
      <c r="C76" s="2" t="s">
        <v>12</v>
      </c>
      <c r="D76" s="3">
        <v>100</v>
      </c>
      <c r="E76" s="3">
        <v>0</v>
      </c>
      <c r="F76" s="3">
        <v>100</v>
      </c>
      <c r="G76" s="2" t="s">
        <v>546</v>
      </c>
      <c r="H76" s="2" t="s">
        <v>502</v>
      </c>
    </row>
    <row r="77" spans="1:8" x14ac:dyDescent="0.25">
      <c r="A77" s="2" t="s">
        <v>198</v>
      </c>
      <c r="B77" s="2" t="s">
        <v>551</v>
      </c>
      <c r="C77" s="2" t="s">
        <v>12</v>
      </c>
      <c r="D77" s="3">
        <v>100</v>
      </c>
      <c r="E77" s="3">
        <v>0</v>
      </c>
      <c r="F77" s="3">
        <v>100</v>
      </c>
      <c r="G77" s="2" t="s">
        <v>546</v>
      </c>
      <c r="H77" s="2" t="s">
        <v>505</v>
      </c>
    </row>
    <row r="78" spans="1:8" x14ac:dyDescent="0.25">
      <c r="A78" s="2" t="s">
        <v>198</v>
      </c>
      <c r="B78" s="2" t="s">
        <v>552</v>
      </c>
      <c r="C78" s="2" t="s">
        <v>12</v>
      </c>
      <c r="D78" s="3">
        <v>100</v>
      </c>
      <c r="E78" s="3">
        <v>0</v>
      </c>
      <c r="F78" s="3">
        <v>100</v>
      </c>
      <c r="G78" s="2" t="s">
        <v>546</v>
      </c>
      <c r="H78" s="2" t="s">
        <v>505</v>
      </c>
    </row>
    <row r="79" spans="1:8" x14ac:dyDescent="0.25">
      <c r="A79" s="2" t="s">
        <v>198</v>
      </c>
      <c r="B79" s="2" t="s">
        <v>402</v>
      </c>
      <c r="C79" s="2" t="s">
        <v>12</v>
      </c>
      <c r="D79" s="3">
        <v>30.87</v>
      </c>
      <c r="E79" s="3">
        <v>0</v>
      </c>
      <c r="F79" s="3">
        <v>30.87</v>
      </c>
      <c r="G79" s="2" t="s">
        <v>546</v>
      </c>
      <c r="H79" s="2" t="s">
        <v>448</v>
      </c>
    </row>
    <row r="80" spans="1:8" x14ac:dyDescent="0.25">
      <c r="A80" s="2" t="s">
        <v>198</v>
      </c>
      <c r="B80" s="2" t="s">
        <v>553</v>
      </c>
      <c r="C80" s="2" t="s">
        <v>12</v>
      </c>
      <c r="D80" s="3">
        <v>30.87</v>
      </c>
      <c r="E80" s="3">
        <v>0</v>
      </c>
      <c r="F80" s="3">
        <v>30.87</v>
      </c>
      <c r="G80" s="2" t="s">
        <v>546</v>
      </c>
      <c r="H80" s="2" t="s">
        <v>448</v>
      </c>
    </row>
    <row r="81" spans="1:8" x14ac:dyDescent="0.25">
      <c r="A81" s="2" t="s">
        <v>198</v>
      </c>
      <c r="B81" s="2" t="s">
        <v>554</v>
      </c>
      <c r="C81" s="2" t="s">
        <v>12</v>
      </c>
      <c r="D81" s="3">
        <v>30.87</v>
      </c>
      <c r="E81" s="3">
        <v>0</v>
      </c>
      <c r="F81" s="3">
        <v>30.87</v>
      </c>
      <c r="G81" s="2" t="s">
        <v>555</v>
      </c>
      <c r="H81" s="2" t="s">
        <v>448</v>
      </c>
    </row>
    <row r="82" spans="1:8" x14ac:dyDescent="0.25">
      <c r="A82" s="2" t="s">
        <v>198</v>
      </c>
      <c r="B82" s="2" t="s">
        <v>556</v>
      </c>
      <c r="C82" s="2" t="s">
        <v>12</v>
      </c>
      <c r="D82" s="3">
        <v>30.87</v>
      </c>
      <c r="E82" s="3">
        <v>0</v>
      </c>
      <c r="F82" s="3">
        <v>30.87</v>
      </c>
      <c r="G82" s="2" t="s">
        <v>546</v>
      </c>
      <c r="H82" s="2" t="s">
        <v>448</v>
      </c>
    </row>
    <row r="83" spans="1:8" x14ac:dyDescent="0.25">
      <c r="A83" s="2" t="s">
        <v>557</v>
      </c>
      <c r="B83" s="2" t="s">
        <v>558</v>
      </c>
      <c r="C83" s="2" t="s">
        <v>12</v>
      </c>
      <c r="D83" s="3">
        <v>54.98</v>
      </c>
      <c r="E83" s="3">
        <v>1.07</v>
      </c>
      <c r="F83" s="3">
        <v>53.91</v>
      </c>
      <c r="G83" s="2" t="s">
        <v>12</v>
      </c>
      <c r="H83" s="2" t="s">
        <v>443</v>
      </c>
    </row>
    <row r="84" spans="1:8" x14ac:dyDescent="0.25">
      <c r="A84" s="2" t="s">
        <v>557</v>
      </c>
      <c r="B84" s="2" t="s">
        <v>559</v>
      </c>
      <c r="C84" s="2" t="s">
        <v>12</v>
      </c>
      <c r="D84" s="3">
        <v>54.98</v>
      </c>
      <c r="E84" s="3">
        <v>1.07</v>
      </c>
      <c r="F84" s="3">
        <v>53.91</v>
      </c>
      <c r="G84" s="2" t="s">
        <v>12</v>
      </c>
      <c r="H84" s="2" t="s">
        <v>443</v>
      </c>
    </row>
    <row r="85" spans="1:8" x14ac:dyDescent="0.25">
      <c r="A85" s="2" t="s">
        <v>557</v>
      </c>
      <c r="B85" s="2" t="s">
        <v>560</v>
      </c>
      <c r="C85" s="2" t="s">
        <v>12</v>
      </c>
      <c r="D85" s="3">
        <v>54.98</v>
      </c>
      <c r="E85" s="3">
        <v>0</v>
      </c>
      <c r="F85" s="3">
        <v>54.98</v>
      </c>
      <c r="G85" s="2" t="s">
        <v>12</v>
      </c>
      <c r="H85" s="2" t="s">
        <v>452</v>
      </c>
    </row>
    <row r="86" spans="1:8" x14ac:dyDescent="0.25">
      <c r="A86" s="2" t="s">
        <v>557</v>
      </c>
      <c r="B86" s="2" t="s">
        <v>561</v>
      </c>
      <c r="C86" s="2" t="s">
        <v>12</v>
      </c>
      <c r="D86" s="3">
        <v>54.98</v>
      </c>
      <c r="E86" s="3">
        <v>0</v>
      </c>
      <c r="F86" s="3">
        <v>54.98</v>
      </c>
      <c r="G86" s="2" t="s">
        <v>12</v>
      </c>
      <c r="H86" s="2" t="s">
        <v>452</v>
      </c>
    </row>
    <row r="87" spans="1:8" x14ac:dyDescent="0.25">
      <c r="A87" s="2" t="s">
        <v>207</v>
      </c>
      <c r="B87" s="2" t="s">
        <v>562</v>
      </c>
      <c r="C87" s="2" t="s">
        <v>12</v>
      </c>
      <c r="D87" s="3">
        <v>98.93</v>
      </c>
      <c r="E87" s="3">
        <v>0</v>
      </c>
      <c r="F87" s="3">
        <v>98.93</v>
      </c>
      <c r="G87" s="2" t="s">
        <v>563</v>
      </c>
      <c r="H87" s="2" t="s">
        <v>505</v>
      </c>
    </row>
    <row r="88" spans="1:8" x14ac:dyDescent="0.25">
      <c r="A88" s="2" t="s">
        <v>207</v>
      </c>
      <c r="B88" s="2" t="s">
        <v>564</v>
      </c>
      <c r="C88" s="2" t="s">
        <v>12</v>
      </c>
      <c r="D88" s="3">
        <v>0</v>
      </c>
      <c r="E88" s="3">
        <v>0</v>
      </c>
      <c r="F88" s="3">
        <v>0</v>
      </c>
      <c r="G88" s="2" t="s">
        <v>563</v>
      </c>
      <c r="H88" s="2" t="s">
        <v>448</v>
      </c>
    </row>
    <row r="89" spans="1:8" x14ac:dyDescent="0.25">
      <c r="A89" s="2" t="s">
        <v>207</v>
      </c>
      <c r="B89" s="2" t="s">
        <v>565</v>
      </c>
      <c r="C89" s="2" t="s">
        <v>12</v>
      </c>
      <c r="D89" s="3">
        <v>0</v>
      </c>
      <c r="E89" s="3">
        <v>0</v>
      </c>
      <c r="F89" s="3">
        <v>0</v>
      </c>
      <c r="G89" s="2" t="s">
        <v>566</v>
      </c>
      <c r="H89" s="2" t="s">
        <v>448</v>
      </c>
    </row>
    <row r="90" spans="1:8" x14ac:dyDescent="0.25">
      <c r="A90" s="2" t="s">
        <v>207</v>
      </c>
      <c r="B90" s="2" t="s">
        <v>567</v>
      </c>
      <c r="C90" s="2" t="s">
        <v>12</v>
      </c>
      <c r="D90" s="3">
        <v>0</v>
      </c>
      <c r="E90" s="3">
        <v>0</v>
      </c>
      <c r="F90" s="3">
        <v>0</v>
      </c>
      <c r="G90" s="2" t="s">
        <v>563</v>
      </c>
      <c r="H90" s="2" t="s">
        <v>448</v>
      </c>
    </row>
    <row r="91" spans="1:8" x14ac:dyDescent="0.25">
      <c r="A91" s="2" t="s">
        <v>207</v>
      </c>
      <c r="B91" s="2" t="s">
        <v>568</v>
      </c>
      <c r="C91" s="2" t="s">
        <v>12</v>
      </c>
      <c r="D91" s="3">
        <v>0</v>
      </c>
      <c r="E91" s="3">
        <v>0</v>
      </c>
      <c r="F91" s="3">
        <v>0</v>
      </c>
      <c r="G91" s="2" t="s">
        <v>569</v>
      </c>
      <c r="H91" s="2" t="s">
        <v>448</v>
      </c>
    </row>
    <row r="92" spans="1:8" x14ac:dyDescent="0.25">
      <c r="A92" s="2" t="s">
        <v>207</v>
      </c>
      <c r="B92" s="2" t="s">
        <v>570</v>
      </c>
      <c r="C92" s="2" t="s">
        <v>12</v>
      </c>
      <c r="D92" s="3">
        <v>98.93</v>
      </c>
      <c r="E92" s="3">
        <v>0</v>
      </c>
      <c r="F92" s="3">
        <v>98.93</v>
      </c>
      <c r="G92" s="2" t="s">
        <v>563</v>
      </c>
      <c r="H92" s="2" t="s">
        <v>502</v>
      </c>
    </row>
    <row r="93" spans="1:8" x14ac:dyDescent="0.25">
      <c r="A93" s="2" t="s">
        <v>207</v>
      </c>
      <c r="B93" s="2" t="s">
        <v>571</v>
      </c>
      <c r="C93" s="2" t="s">
        <v>12</v>
      </c>
      <c r="D93" s="3">
        <v>98.93</v>
      </c>
      <c r="E93" s="3">
        <v>0</v>
      </c>
      <c r="F93" s="3">
        <v>98.93</v>
      </c>
      <c r="G93" s="2" t="s">
        <v>563</v>
      </c>
      <c r="H93" s="2" t="s">
        <v>505</v>
      </c>
    </row>
    <row r="94" spans="1:8" x14ac:dyDescent="0.25">
      <c r="A94" s="2" t="s">
        <v>207</v>
      </c>
      <c r="B94" s="2" t="s">
        <v>572</v>
      </c>
      <c r="C94" s="2" t="s">
        <v>12</v>
      </c>
      <c r="D94" s="3">
        <v>98.93</v>
      </c>
      <c r="E94" s="3">
        <v>0</v>
      </c>
      <c r="F94" s="3">
        <v>98.93</v>
      </c>
      <c r="G94" s="2" t="s">
        <v>563</v>
      </c>
      <c r="H94" s="2" t="s">
        <v>502</v>
      </c>
    </row>
    <row r="95" spans="1:8" x14ac:dyDescent="0.25">
      <c r="A95" s="2" t="s">
        <v>44</v>
      </c>
      <c r="B95" s="2" t="s">
        <v>573</v>
      </c>
      <c r="C95" s="2" t="s">
        <v>574</v>
      </c>
      <c r="D95" s="3">
        <v>89.99</v>
      </c>
      <c r="E95" s="3">
        <v>1.6</v>
      </c>
      <c r="F95" s="3">
        <v>88.39</v>
      </c>
      <c r="G95" s="2" t="s">
        <v>12</v>
      </c>
      <c r="H95" s="2" t="s">
        <v>443</v>
      </c>
    </row>
    <row r="96" spans="1:8" x14ac:dyDescent="0.25">
      <c r="A96" s="2" t="s">
        <v>44</v>
      </c>
      <c r="B96" s="2" t="s">
        <v>575</v>
      </c>
      <c r="C96" s="2" t="s">
        <v>12</v>
      </c>
      <c r="D96" s="3">
        <v>0.45</v>
      </c>
      <c r="E96" s="3">
        <v>0</v>
      </c>
      <c r="F96" s="3">
        <v>0.45</v>
      </c>
      <c r="G96" s="2" t="s">
        <v>12</v>
      </c>
      <c r="H96" s="2" t="s">
        <v>445</v>
      </c>
    </row>
    <row r="97" spans="1:8" x14ac:dyDescent="0.25">
      <c r="A97" s="2" t="s">
        <v>576</v>
      </c>
      <c r="B97" s="2" t="s">
        <v>577</v>
      </c>
      <c r="C97" s="2" t="s">
        <v>12</v>
      </c>
      <c r="D97" s="3">
        <v>0.22</v>
      </c>
      <c r="E97" s="3">
        <v>0</v>
      </c>
      <c r="F97" s="3">
        <v>0.22</v>
      </c>
      <c r="G97" s="2" t="s">
        <v>12</v>
      </c>
      <c r="H97" s="2" t="s">
        <v>544</v>
      </c>
    </row>
    <row r="98" spans="1:8" x14ac:dyDescent="0.25">
      <c r="A98" s="2" t="s">
        <v>214</v>
      </c>
      <c r="B98" s="2" t="s">
        <v>578</v>
      </c>
      <c r="C98" s="2" t="s">
        <v>12</v>
      </c>
      <c r="D98" s="3">
        <v>87.72</v>
      </c>
      <c r="E98" s="3">
        <v>0</v>
      </c>
      <c r="F98" s="3">
        <v>87.72</v>
      </c>
      <c r="G98" s="2" t="s">
        <v>579</v>
      </c>
      <c r="H98" s="2" t="s">
        <v>448</v>
      </c>
    </row>
    <row r="99" spans="1:8" x14ac:dyDescent="0.25">
      <c r="A99" s="2" t="s">
        <v>214</v>
      </c>
      <c r="B99" s="2" t="s">
        <v>580</v>
      </c>
      <c r="C99" s="2" t="s">
        <v>12</v>
      </c>
      <c r="D99" s="3">
        <v>87.72</v>
      </c>
      <c r="E99" s="3">
        <v>0</v>
      </c>
      <c r="F99" s="3">
        <v>87.72</v>
      </c>
      <c r="G99" s="2" t="s">
        <v>579</v>
      </c>
      <c r="H99" s="2" t="s">
        <v>448</v>
      </c>
    </row>
    <row r="100" spans="1:8" x14ac:dyDescent="0.25">
      <c r="A100" s="2" t="s">
        <v>46</v>
      </c>
      <c r="B100" s="2" t="s">
        <v>581</v>
      </c>
      <c r="C100" s="2" t="s">
        <v>12</v>
      </c>
      <c r="D100" s="3">
        <v>43.97</v>
      </c>
      <c r="E100" s="3">
        <v>0.91</v>
      </c>
      <c r="F100" s="3">
        <v>43.06</v>
      </c>
      <c r="G100" s="2" t="s">
        <v>12</v>
      </c>
      <c r="H100" s="2" t="s">
        <v>443</v>
      </c>
    </row>
    <row r="101" spans="1:8" x14ac:dyDescent="0.25">
      <c r="A101" s="2" t="s">
        <v>46</v>
      </c>
      <c r="B101" s="2" t="s">
        <v>582</v>
      </c>
      <c r="C101" s="2" t="s">
        <v>12</v>
      </c>
      <c r="D101" s="3">
        <v>43.97</v>
      </c>
      <c r="E101" s="3">
        <v>0.91</v>
      </c>
      <c r="F101" s="3">
        <v>43.06</v>
      </c>
      <c r="G101" s="2" t="s">
        <v>12</v>
      </c>
      <c r="H101" s="2" t="s">
        <v>443</v>
      </c>
    </row>
    <row r="102" spans="1:8" x14ac:dyDescent="0.25">
      <c r="A102" s="2" t="s">
        <v>48</v>
      </c>
      <c r="B102" s="2" t="s">
        <v>583</v>
      </c>
      <c r="C102" s="2" t="s">
        <v>584</v>
      </c>
      <c r="D102" s="3">
        <v>49.46</v>
      </c>
      <c r="E102" s="3">
        <v>0.99</v>
      </c>
      <c r="F102" s="3">
        <v>48.47</v>
      </c>
      <c r="G102" s="2" t="s">
        <v>12</v>
      </c>
      <c r="H102" s="2" t="s">
        <v>443</v>
      </c>
    </row>
    <row r="103" spans="1:8" x14ac:dyDescent="0.25">
      <c r="A103" s="2" t="s">
        <v>48</v>
      </c>
      <c r="B103" s="2" t="s">
        <v>585</v>
      </c>
      <c r="C103" s="2" t="s">
        <v>12</v>
      </c>
      <c r="D103" s="3">
        <v>0.25</v>
      </c>
      <c r="E103" s="3">
        <v>0</v>
      </c>
      <c r="F103" s="3">
        <v>0.25</v>
      </c>
      <c r="G103" s="2" t="s">
        <v>12</v>
      </c>
      <c r="H103" s="2" t="s">
        <v>445</v>
      </c>
    </row>
    <row r="104" spans="1:8" x14ac:dyDescent="0.25">
      <c r="A104" s="2" t="s">
        <v>50</v>
      </c>
      <c r="B104" s="2" t="s">
        <v>586</v>
      </c>
      <c r="C104" s="2" t="s">
        <v>12</v>
      </c>
      <c r="D104" s="3">
        <v>31.48</v>
      </c>
      <c r="E104" s="3">
        <v>1.58</v>
      </c>
      <c r="F104" s="3">
        <v>29.9</v>
      </c>
      <c r="G104" s="2" t="s">
        <v>12</v>
      </c>
      <c r="H104" s="2" t="s">
        <v>464</v>
      </c>
    </row>
    <row r="105" spans="1:8" x14ac:dyDescent="0.25">
      <c r="A105" s="2" t="s">
        <v>50</v>
      </c>
      <c r="B105" s="2" t="s">
        <v>587</v>
      </c>
      <c r="C105" s="2" t="s">
        <v>12</v>
      </c>
      <c r="D105" s="3">
        <v>31.48</v>
      </c>
      <c r="E105" s="3">
        <v>1.58</v>
      </c>
      <c r="F105" s="3">
        <v>29.9</v>
      </c>
      <c r="G105" s="2" t="s">
        <v>12</v>
      </c>
      <c r="H105" s="2" t="s">
        <v>464</v>
      </c>
    </row>
    <row r="106" spans="1:8" x14ac:dyDescent="0.25">
      <c r="A106" s="2" t="s">
        <v>50</v>
      </c>
      <c r="B106" s="2" t="s">
        <v>588</v>
      </c>
      <c r="C106" s="2" t="s">
        <v>12</v>
      </c>
      <c r="D106" s="3">
        <v>31.48</v>
      </c>
      <c r="E106" s="3">
        <v>1.58</v>
      </c>
      <c r="F106" s="3">
        <v>29.9</v>
      </c>
      <c r="G106" s="2" t="s">
        <v>12</v>
      </c>
      <c r="H106" s="2" t="s">
        <v>464</v>
      </c>
    </row>
    <row r="107" spans="1:8" x14ac:dyDescent="0.25">
      <c r="A107" s="2" t="s">
        <v>50</v>
      </c>
      <c r="B107" s="2" t="s">
        <v>589</v>
      </c>
      <c r="C107" s="2" t="s">
        <v>12</v>
      </c>
      <c r="D107" s="3">
        <v>31.48</v>
      </c>
      <c r="E107" s="3">
        <v>1.58</v>
      </c>
      <c r="F107" s="3">
        <v>29.9</v>
      </c>
      <c r="G107" s="2" t="s">
        <v>12</v>
      </c>
      <c r="H107" s="2" t="s">
        <v>464</v>
      </c>
    </row>
    <row r="108" spans="1:8" x14ac:dyDescent="0.25">
      <c r="A108" s="2" t="s">
        <v>222</v>
      </c>
      <c r="B108" s="2" t="s">
        <v>590</v>
      </c>
      <c r="C108" s="2" t="s">
        <v>12</v>
      </c>
      <c r="D108" s="3">
        <v>100</v>
      </c>
      <c r="E108" s="3">
        <v>0</v>
      </c>
      <c r="F108" s="3">
        <v>100</v>
      </c>
      <c r="G108" s="2" t="s">
        <v>591</v>
      </c>
      <c r="H108" s="2" t="s">
        <v>505</v>
      </c>
    </row>
    <row r="109" spans="1:8" x14ac:dyDescent="0.25">
      <c r="A109" s="2" t="s">
        <v>222</v>
      </c>
      <c r="B109" s="2" t="s">
        <v>592</v>
      </c>
      <c r="C109" s="2" t="s">
        <v>12</v>
      </c>
      <c r="D109" s="3">
        <v>100</v>
      </c>
      <c r="E109" s="3">
        <v>0</v>
      </c>
      <c r="F109" s="3">
        <v>100</v>
      </c>
      <c r="G109" s="2" t="s">
        <v>591</v>
      </c>
      <c r="H109" s="2" t="s">
        <v>505</v>
      </c>
    </row>
    <row r="110" spans="1:8" x14ac:dyDescent="0.25">
      <c r="A110" s="2" t="s">
        <v>222</v>
      </c>
      <c r="B110" s="2" t="s">
        <v>593</v>
      </c>
      <c r="C110" s="2" t="s">
        <v>12</v>
      </c>
      <c r="D110" s="3">
        <v>100</v>
      </c>
      <c r="E110" s="3">
        <v>0</v>
      </c>
      <c r="F110" s="3">
        <v>100</v>
      </c>
      <c r="G110" s="2" t="s">
        <v>591</v>
      </c>
      <c r="H110" s="2" t="s">
        <v>502</v>
      </c>
    </row>
    <row r="111" spans="1:8" x14ac:dyDescent="0.25">
      <c r="A111" s="2" t="s">
        <v>222</v>
      </c>
      <c r="B111" s="2" t="s">
        <v>594</v>
      </c>
      <c r="C111" s="2" t="s">
        <v>12</v>
      </c>
      <c r="D111" s="3">
        <v>100</v>
      </c>
      <c r="E111" s="3">
        <v>0</v>
      </c>
      <c r="F111" s="3">
        <v>100</v>
      </c>
      <c r="G111" s="2" t="s">
        <v>591</v>
      </c>
      <c r="H111" s="2" t="s">
        <v>502</v>
      </c>
    </row>
    <row r="112" spans="1:8" x14ac:dyDescent="0.25">
      <c r="A112" s="2" t="s">
        <v>222</v>
      </c>
      <c r="B112" s="2" t="s">
        <v>595</v>
      </c>
      <c r="C112" s="2" t="s">
        <v>12</v>
      </c>
      <c r="D112" s="3">
        <v>41.99</v>
      </c>
      <c r="E112" s="3">
        <v>0</v>
      </c>
      <c r="F112" s="3">
        <v>41.99</v>
      </c>
      <c r="G112" s="2" t="s">
        <v>591</v>
      </c>
      <c r="H112" s="2" t="s">
        <v>448</v>
      </c>
    </row>
    <row r="113" spans="1:8" x14ac:dyDescent="0.25">
      <c r="A113" s="2" t="s">
        <v>222</v>
      </c>
      <c r="B113" s="2" t="s">
        <v>596</v>
      </c>
      <c r="C113" s="2" t="s">
        <v>12</v>
      </c>
      <c r="D113" s="3">
        <v>41.99</v>
      </c>
      <c r="E113" s="3">
        <v>0</v>
      </c>
      <c r="F113" s="3">
        <v>41.99</v>
      </c>
      <c r="G113" s="2" t="s">
        <v>597</v>
      </c>
      <c r="H113" s="2" t="s">
        <v>448</v>
      </c>
    </row>
    <row r="114" spans="1:8" x14ac:dyDescent="0.25">
      <c r="A114" s="2" t="s">
        <v>222</v>
      </c>
      <c r="B114" s="2" t="s">
        <v>419</v>
      </c>
      <c r="C114" s="2" t="s">
        <v>12</v>
      </c>
      <c r="D114" s="3">
        <v>41.99</v>
      </c>
      <c r="E114" s="3">
        <v>0</v>
      </c>
      <c r="F114" s="3">
        <v>41.99</v>
      </c>
      <c r="G114" s="2" t="s">
        <v>591</v>
      </c>
      <c r="H114" s="2" t="s">
        <v>448</v>
      </c>
    </row>
    <row r="115" spans="1:8" x14ac:dyDescent="0.25">
      <c r="A115" s="2" t="s">
        <v>222</v>
      </c>
      <c r="B115" s="2" t="s">
        <v>598</v>
      </c>
      <c r="C115" s="2" t="s">
        <v>12</v>
      </c>
      <c r="D115" s="3">
        <v>41.99</v>
      </c>
      <c r="E115" s="3">
        <v>0</v>
      </c>
      <c r="F115" s="3">
        <v>41.99</v>
      </c>
      <c r="G115" s="2" t="s">
        <v>591</v>
      </c>
      <c r="H115" s="2" t="s">
        <v>448</v>
      </c>
    </row>
    <row r="116" spans="1:8" x14ac:dyDescent="0.25">
      <c r="A116" s="2" t="s">
        <v>222</v>
      </c>
      <c r="B116" s="2" t="s">
        <v>599</v>
      </c>
      <c r="C116" s="2" t="s">
        <v>12</v>
      </c>
      <c r="D116" s="3">
        <v>0.12</v>
      </c>
      <c r="E116" s="3">
        <v>0</v>
      </c>
      <c r="F116" s="3">
        <v>0.12</v>
      </c>
      <c r="G116" s="2" t="s">
        <v>591</v>
      </c>
      <c r="H116" s="2" t="s">
        <v>544</v>
      </c>
    </row>
    <row r="117" spans="1:8" x14ac:dyDescent="0.25">
      <c r="A117" s="2" t="s">
        <v>115</v>
      </c>
      <c r="B117" s="2" t="s">
        <v>600</v>
      </c>
      <c r="C117" s="2" t="s">
        <v>12</v>
      </c>
      <c r="D117" s="3">
        <v>48.1</v>
      </c>
      <c r="E117" s="3">
        <v>0</v>
      </c>
      <c r="F117" s="3">
        <v>48.1</v>
      </c>
      <c r="G117" s="2" t="s">
        <v>601</v>
      </c>
      <c r="H117" s="2" t="s">
        <v>448</v>
      </c>
    </row>
    <row r="118" spans="1:8" x14ac:dyDescent="0.25">
      <c r="A118" s="2" t="s">
        <v>115</v>
      </c>
      <c r="B118" s="2" t="s">
        <v>602</v>
      </c>
      <c r="C118" s="2" t="s">
        <v>12</v>
      </c>
      <c r="D118" s="3">
        <v>48.1</v>
      </c>
      <c r="E118" s="3">
        <v>0</v>
      </c>
      <c r="F118" s="3">
        <v>48.1</v>
      </c>
      <c r="G118" s="2" t="s">
        <v>601</v>
      </c>
      <c r="H118" s="2" t="s">
        <v>448</v>
      </c>
    </row>
    <row r="119" spans="1:8" x14ac:dyDescent="0.25">
      <c r="A119" s="2" t="s">
        <v>53</v>
      </c>
      <c r="B119" s="2" t="s">
        <v>603</v>
      </c>
      <c r="C119" s="2" t="s">
        <v>12</v>
      </c>
      <c r="D119" s="3">
        <v>100</v>
      </c>
      <c r="E119" s="3">
        <v>0</v>
      </c>
      <c r="F119" s="3">
        <v>100</v>
      </c>
      <c r="G119" s="2" t="s">
        <v>604</v>
      </c>
      <c r="H119" s="2" t="s">
        <v>502</v>
      </c>
    </row>
    <row r="120" spans="1:8" x14ac:dyDescent="0.25">
      <c r="A120" s="2" t="s">
        <v>53</v>
      </c>
      <c r="B120" s="2" t="s">
        <v>605</v>
      </c>
      <c r="C120" s="2" t="s">
        <v>12</v>
      </c>
      <c r="D120" s="3">
        <v>100</v>
      </c>
      <c r="E120" s="3">
        <v>0</v>
      </c>
      <c r="F120" s="3">
        <v>100</v>
      </c>
      <c r="G120" s="2" t="s">
        <v>604</v>
      </c>
      <c r="H120" s="2" t="s">
        <v>505</v>
      </c>
    </row>
    <row r="121" spans="1:8" x14ac:dyDescent="0.25">
      <c r="A121" s="2" t="s">
        <v>53</v>
      </c>
      <c r="B121" s="2" t="s">
        <v>606</v>
      </c>
      <c r="C121" s="2" t="s">
        <v>12</v>
      </c>
      <c r="D121" s="3">
        <v>100</v>
      </c>
      <c r="E121" s="3">
        <v>0</v>
      </c>
      <c r="F121" s="3">
        <v>100</v>
      </c>
      <c r="G121" s="2" t="s">
        <v>604</v>
      </c>
      <c r="H121" s="2" t="s">
        <v>505</v>
      </c>
    </row>
    <row r="122" spans="1:8" x14ac:dyDescent="0.25">
      <c r="A122" s="2" t="s">
        <v>53</v>
      </c>
      <c r="B122" s="2" t="s">
        <v>607</v>
      </c>
      <c r="C122" s="2" t="s">
        <v>12</v>
      </c>
      <c r="D122" s="3">
        <v>100</v>
      </c>
      <c r="E122" s="3">
        <v>0</v>
      </c>
      <c r="F122" s="3">
        <v>100</v>
      </c>
      <c r="G122" s="2" t="s">
        <v>604</v>
      </c>
      <c r="H122" s="2" t="s">
        <v>502</v>
      </c>
    </row>
    <row r="123" spans="1:8" x14ac:dyDescent="0.25">
      <c r="A123" s="2" t="s">
        <v>53</v>
      </c>
      <c r="B123" s="2" t="s">
        <v>608</v>
      </c>
      <c r="C123" s="2" t="s">
        <v>12</v>
      </c>
      <c r="D123" s="3">
        <v>59.8</v>
      </c>
      <c r="E123" s="3">
        <v>0</v>
      </c>
      <c r="F123" s="3">
        <v>59.8</v>
      </c>
      <c r="G123" s="2" t="s">
        <v>609</v>
      </c>
      <c r="H123" s="2" t="s">
        <v>448</v>
      </c>
    </row>
    <row r="124" spans="1:8" x14ac:dyDescent="0.25">
      <c r="A124" s="2" t="s">
        <v>53</v>
      </c>
      <c r="B124" s="2" t="s">
        <v>426</v>
      </c>
      <c r="C124" s="2" t="s">
        <v>12</v>
      </c>
      <c r="D124" s="3">
        <v>59.8</v>
      </c>
      <c r="E124" s="3">
        <v>0</v>
      </c>
      <c r="F124" s="3">
        <v>59.8</v>
      </c>
      <c r="G124" s="2" t="s">
        <v>604</v>
      </c>
      <c r="H124" s="2" t="s">
        <v>448</v>
      </c>
    </row>
    <row r="125" spans="1:8" x14ac:dyDescent="0.25">
      <c r="A125" s="2" t="s">
        <v>53</v>
      </c>
      <c r="B125" s="2" t="s">
        <v>610</v>
      </c>
      <c r="C125" s="2" t="s">
        <v>12</v>
      </c>
      <c r="D125" s="3">
        <v>59.8</v>
      </c>
      <c r="E125" s="3">
        <v>0</v>
      </c>
      <c r="F125" s="3">
        <v>59.8</v>
      </c>
      <c r="G125" s="2" t="s">
        <v>611</v>
      </c>
      <c r="H125" s="2" t="s">
        <v>448</v>
      </c>
    </row>
    <row r="126" spans="1:8" x14ac:dyDescent="0.25">
      <c r="A126" s="2" t="s">
        <v>53</v>
      </c>
      <c r="B126" s="2" t="s">
        <v>612</v>
      </c>
      <c r="C126" s="2" t="s">
        <v>12</v>
      </c>
      <c r="D126" s="3">
        <v>59.8</v>
      </c>
      <c r="E126" s="3">
        <v>0</v>
      </c>
      <c r="F126" s="3">
        <v>59.8</v>
      </c>
      <c r="G126" s="2" t="s">
        <v>604</v>
      </c>
      <c r="H126" s="2" t="s">
        <v>448</v>
      </c>
    </row>
    <row r="127" spans="1:8" x14ac:dyDescent="0.25">
      <c r="A127" s="2" t="s">
        <v>53</v>
      </c>
      <c r="B127" s="2" t="s">
        <v>613</v>
      </c>
      <c r="C127" s="2" t="s">
        <v>12</v>
      </c>
      <c r="D127" s="3">
        <v>64.98</v>
      </c>
      <c r="E127" s="3">
        <v>1.22</v>
      </c>
      <c r="F127" s="3">
        <v>63.76</v>
      </c>
      <c r="G127" s="2" t="s">
        <v>604</v>
      </c>
      <c r="H127" s="2" t="s">
        <v>443</v>
      </c>
    </row>
    <row r="128" spans="1:8" x14ac:dyDescent="0.25">
      <c r="A128" s="2" t="s">
        <v>53</v>
      </c>
      <c r="B128" s="2" t="s">
        <v>614</v>
      </c>
      <c r="C128" s="2" t="s">
        <v>12</v>
      </c>
      <c r="D128" s="3">
        <v>64.98</v>
      </c>
      <c r="E128" s="3">
        <v>1.22</v>
      </c>
      <c r="F128" s="3">
        <v>63.76</v>
      </c>
      <c r="G128" s="2" t="s">
        <v>604</v>
      </c>
      <c r="H128" s="2" t="s">
        <v>443</v>
      </c>
    </row>
    <row r="129" spans="1:8" x14ac:dyDescent="0.25">
      <c r="A129" s="2" t="s">
        <v>231</v>
      </c>
      <c r="B129" s="2" t="s">
        <v>615</v>
      </c>
      <c r="C129" s="2" t="s">
        <v>12</v>
      </c>
      <c r="D129" s="3">
        <v>63.76</v>
      </c>
      <c r="E129" s="3">
        <v>0</v>
      </c>
      <c r="F129" s="3">
        <v>63.76</v>
      </c>
      <c r="G129" s="2" t="s">
        <v>616</v>
      </c>
      <c r="H129" s="2" t="s">
        <v>448</v>
      </c>
    </row>
    <row r="130" spans="1:8" x14ac:dyDescent="0.25">
      <c r="A130" s="2" t="s">
        <v>231</v>
      </c>
      <c r="B130" s="2" t="s">
        <v>617</v>
      </c>
      <c r="C130" s="2" t="s">
        <v>12</v>
      </c>
      <c r="D130" s="3">
        <v>100</v>
      </c>
      <c r="E130" s="3">
        <v>0</v>
      </c>
      <c r="F130" s="3">
        <v>100</v>
      </c>
      <c r="G130" s="2" t="s">
        <v>616</v>
      </c>
      <c r="H130" s="2" t="s">
        <v>502</v>
      </c>
    </row>
    <row r="131" spans="1:8" x14ac:dyDescent="0.25">
      <c r="A131" s="2" t="s">
        <v>231</v>
      </c>
      <c r="B131" s="2" t="s">
        <v>618</v>
      </c>
      <c r="C131" s="2" t="s">
        <v>12</v>
      </c>
      <c r="D131" s="3">
        <v>63.76</v>
      </c>
      <c r="E131" s="3">
        <v>0</v>
      </c>
      <c r="F131" s="3">
        <v>63.76</v>
      </c>
      <c r="G131" s="2" t="s">
        <v>619</v>
      </c>
      <c r="H131" s="2" t="s">
        <v>448</v>
      </c>
    </row>
    <row r="132" spans="1:8" x14ac:dyDescent="0.25">
      <c r="A132" s="2" t="s">
        <v>231</v>
      </c>
      <c r="B132" s="2" t="s">
        <v>620</v>
      </c>
      <c r="C132" s="2" t="s">
        <v>12</v>
      </c>
      <c r="D132" s="3">
        <v>63.76</v>
      </c>
      <c r="E132" s="3">
        <v>0</v>
      </c>
      <c r="F132" s="3">
        <v>63.76</v>
      </c>
      <c r="G132" s="2" t="s">
        <v>621</v>
      </c>
      <c r="H132" s="2" t="s">
        <v>448</v>
      </c>
    </row>
    <row r="133" spans="1:8" x14ac:dyDescent="0.25">
      <c r="A133" s="2" t="s">
        <v>231</v>
      </c>
      <c r="B133" s="2" t="s">
        <v>622</v>
      </c>
      <c r="C133" s="2" t="s">
        <v>12</v>
      </c>
      <c r="D133" s="3">
        <v>100</v>
      </c>
      <c r="E133" s="3">
        <v>0</v>
      </c>
      <c r="F133" s="3">
        <v>100</v>
      </c>
      <c r="G133" s="2" t="s">
        <v>616</v>
      </c>
      <c r="H133" s="2" t="s">
        <v>502</v>
      </c>
    </row>
    <row r="134" spans="1:8" x14ac:dyDescent="0.25">
      <c r="A134" s="2" t="s">
        <v>231</v>
      </c>
      <c r="B134" s="2" t="s">
        <v>429</v>
      </c>
      <c r="C134" s="2" t="s">
        <v>12</v>
      </c>
      <c r="D134" s="3">
        <v>63.76</v>
      </c>
      <c r="E134" s="3">
        <v>0</v>
      </c>
      <c r="F134" s="3">
        <v>63.76</v>
      </c>
      <c r="G134" s="2" t="s">
        <v>616</v>
      </c>
      <c r="H134" s="2" t="s">
        <v>448</v>
      </c>
    </row>
    <row r="135" spans="1:8" x14ac:dyDescent="0.25">
      <c r="A135" s="2" t="s">
        <v>231</v>
      </c>
      <c r="B135" s="2" t="s">
        <v>623</v>
      </c>
      <c r="C135" s="2" t="s">
        <v>12</v>
      </c>
      <c r="D135" s="3">
        <v>100</v>
      </c>
      <c r="E135" s="3">
        <v>0</v>
      </c>
      <c r="F135" s="3">
        <v>100</v>
      </c>
      <c r="G135" s="2" t="s">
        <v>616</v>
      </c>
      <c r="H135" s="2" t="s">
        <v>505</v>
      </c>
    </row>
    <row r="136" spans="1:8" x14ac:dyDescent="0.25">
      <c r="A136" s="2" t="s">
        <v>231</v>
      </c>
      <c r="B136" s="2" t="s">
        <v>624</v>
      </c>
      <c r="C136" s="2" t="s">
        <v>12</v>
      </c>
      <c r="D136" s="3">
        <v>100</v>
      </c>
      <c r="E136" s="3">
        <v>0</v>
      </c>
      <c r="F136" s="3">
        <v>100</v>
      </c>
      <c r="G136" s="2" t="s">
        <v>616</v>
      </c>
      <c r="H136" s="2" t="s">
        <v>505</v>
      </c>
    </row>
    <row r="137" spans="1:8" x14ac:dyDescent="0.25">
      <c r="C137" s="5" t="s">
        <v>55</v>
      </c>
      <c r="D137" s="6">
        <f>SUM(D2:D136)</f>
      </c>
      <c r="E137" s="6">
        <f>SUM(E2:E136)</f>
      </c>
      <c r="F137" s="6">
        <f>SUM(F2:F136)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7" customWidth="1"/>
    <col min="3" max="3" width="23" customWidth="1"/>
    <col min="4" max="4" width="32" customWidth="1"/>
    <col min="5" max="5" width="19" customWidth="1"/>
    <col min="6" max="7" width="17" customWidth="1"/>
    <col min="8" max="8" width="29" customWidth="1"/>
  </cols>
  <sheetData>
    <row r="1" ht="24" customHeight="1" spans="1:8" x14ac:dyDescent="0.25">
      <c r="A1" s="1" t="s">
        <v>0</v>
      </c>
      <c r="B1" s="1" t="s">
        <v>625</v>
      </c>
      <c r="C1" s="1" t="s">
        <v>440</v>
      </c>
      <c r="D1" s="1" t="s">
        <v>626</v>
      </c>
      <c r="E1" s="1" t="s">
        <v>627</v>
      </c>
      <c r="F1" s="1" t="s">
        <v>628</v>
      </c>
      <c r="G1" s="1" t="s">
        <v>629</v>
      </c>
      <c r="H1" s="1" t="s">
        <v>630</v>
      </c>
    </row>
    <row r="2" spans="1:8" x14ac:dyDescent="0.25">
      <c r="A2" s="2" t="s">
        <v>69</v>
      </c>
      <c r="B2" s="2" t="s">
        <v>631</v>
      </c>
      <c r="C2" s="2" t="s">
        <v>632</v>
      </c>
      <c r="D2" s="2" t="s">
        <v>633</v>
      </c>
      <c r="E2" s="3">
        <v>-9.13</v>
      </c>
      <c r="F2" s="3">
        <v>0</v>
      </c>
      <c r="G2" s="3">
        <v>-9.13</v>
      </c>
      <c r="H2" s="2" t="s">
        <v>12</v>
      </c>
    </row>
    <row r="3" spans="1:8" x14ac:dyDescent="0.25">
      <c r="A3" s="2" t="s">
        <v>634</v>
      </c>
      <c r="B3" s="2" t="s">
        <v>635</v>
      </c>
      <c r="C3" s="2" t="s">
        <v>632</v>
      </c>
      <c r="D3" s="2" t="s">
        <v>636</v>
      </c>
      <c r="E3" s="3">
        <v>-9.13</v>
      </c>
      <c r="F3" s="3">
        <v>0</v>
      </c>
      <c r="G3" s="3">
        <v>-9.13</v>
      </c>
      <c r="H3" s="2" t="s">
        <v>12</v>
      </c>
    </row>
    <row r="4" spans="1:8" x14ac:dyDescent="0.25">
      <c r="A4" s="2" t="s">
        <v>634</v>
      </c>
      <c r="B4" s="2" t="s">
        <v>637</v>
      </c>
      <c r="C4" s="2" t="s">
        <v>632</v>
      </c>
      <c r="D4" s="2" t="s">
        <v>636</v>
      </c>
      <c r="E4" s="3">
        <v>-9.13</v>
      </c>
      <c r="F4" s="3">
        <v>0</v>
      </c>
      <c r="G4" s="3">
        <v>-9.13</v>
      </c>
      <c r="H4" s="2" t="s">
        <v>12</v>
      </c>
    </row>
    <row r="5" spans="1:8" x14ac:dyDescent="0.25">
      <c r="A5" s="2" t="s">
        <v>634</v>
      </c>
      <c r="B5" s="2" t="s">
        <v>638</v>
      </c>
      <c r="C5" s="2" t="s">
        <v>632</v>
      </c>
      <c r="D5" s="2" t="s">
        <v>633</v>
      </c>
      <c r="E5" s="3">
        <v>-9.68</v>
      </c>
      <c r="F5" s="3">
        <v>0</v>
      </c>
      <c r="G5" s="3">
        <v>-9.68</v>
      </c>
      <c r="H5" s="2" t="s">
        <v>12</v>
      </c>
    </row>
    <row r="6" spans="1:8" x14ac:dyDescent="0.25">
      <c r="A6" s="2" t="s">
        <v>634</v>
      </c>
      <c r="B6" s="2" t="s">
        <v>639</v>
      </c>
      <c r="C6" s="2" t="s">
        <v>632</v>
      </c>
      <c r="D6" s="2" t="s">
        <v>640</v>
      </c>
      <c r="E6" s="3">
        <v>-9.68</v>
      </c>
      <c r="F6" s="3">
        <v>0</v>
      </c>
      <c r="G6" s="3">
        <v>-9.68</v>
      </c>
      <c r="H6" s="2" t="s">
        <v>12</v>
      </c>
    </row>
    <row r="7" spans="1:8" x14ac:dyDescent="0.25">
      <c r="A7" s="2" t="s">
        <v>634</v>
      </c>
      <c r="B7" s="2" t="s">
        <v>641</v>
      </c>
      <c r="C7" s="2" t="s">
        <v>642</v>
      </c>
      <c r="D7" s="2" t="s">
        <v>18</v>
      </c>
      <c r="E7" s="3">
        <v>0.87</v>
      </c>
      <c r="F7" s="3">
        <v>0</v>
      </c>
      <c r="G7" s="3">
        <v>0.87</v>
      </c>
      <c r="H7" s="2" t="s">
        <v>12</v>
      </c>
    </row>
    <row r="8" spans="1:8" x14ac:dyDescent="0.25">
      <c r="A8" s="2" t="s">
        <v>634</v>
      </c>
      <c r="B8" s="2" t="s">
        <v>643</v>
      </c>
      <c r="C8" s="2" t="s">
        <v>632</v>
      </c>
      <c r="D8" s="2" t="s">
        <v>640</v>
      </c>
      <c r="E8" s="3">
        <v>-10.55</v>
      </c>
      <c r="F8" s="3">
        <v>0</v>
      </c>
      <c r="G8" s="3">
        <v>-10.55</v>
      </c>
      <c r="H8" s="2" t="s">
        <v>12</v>
      </c>
    </row>
    <row r="9" spans="1:8" x14ac:dyDescent="0.25">
      <c r="A9" s="2" t="s">
        <v>147</v>
      </c>
      <c r="B9" s="2" t="s">
        <v>644</v>
      </c>
      <c r="C9" s="2" t="s">
        <v>645</v>
      </c>
      <c r="D9" s="2" t="s">
        <v>633</v>
      </c>
      <c r="E9" s="3">
        <v>-0.32</v>
      </c>
      <c r="F9" s="3">
        <v>0</v>
      </c>
      <c r="G9" s="3">
        <v>-0.32</v>
      </c>
      <c r="H9" s="2" t="s">
        <v>12</v>
      </c>
    </row>
    <row r="10" spans="1:8" x14ac:dyDescent="0.25">
      <c r="A10" s="2" t="s">
        <v>151</v>
      </c>
      <c r="B10" s="2" t="s">
        <v>646</v>
      </c>
      <c r="C10" s="2" t="s">
        <v>642</v>
      </c>
      <c r="D10" s="2" t="s">
        <v>18</v>
      </c>
      <c r="E10" s="3">
        <v>0.05</v>
      </c>
      <c r="F10" s="3">
        <v>0</v>
      </c>
      <c r="G10" s="3">
        <v>0.05</v>
      </c>
      <c r="H10" s="2" t="s">
        <v>12</v>
      </c>
    </row>
    <row r="11" spans="1:8" x14ac:dyDescent="0.25">
      <c r="A11" s="2" t="s">
        <v>16</v>
      </c>
      <c r="B11" s="2" t="s">
        <v>647</v>
      </c>
      <c r="C11" s="2" t="s">
        <v>645</v>
      </c>
      <c r="D11" s="2" t="s">
        <v>633</v>
      </c>
      <c r="E11" s="3">
        <v>-0.05</v>
      </c>
      <c r="F11" s="3">
        <v>0</v>
      </c>
      <c r="G11" s="3">
        <v>-0.05</v>
      </c>
      <c r="H11" s="2" t="s">
        <v>12</v>
      </c>
    </row>
    <row r="12" spans="1:8" x14ac:dyDescent="0.25">
      <c r="A12" s="2" t="s">
        <v>16</v>
      </c>
      <c r="B12" s="2" t="s">
        <v>19</v>
      </c>
      <c r="C12" s="2" t="s">
        <v>645</v>
      </c>
      <c r="D12" s="2" t="s">
        <v>648</v>
      </c>
      <c r="E12" s="3">
        <v>62.37</v>
      </c>
      <c r="F12" s="3">
        <v>2.39</v>
      </c>
      <c r="G12" s="3">
        <v>59.98</v>
      </c>
      <c r="H12" s="2" t="s">
        <v>12</v>
      </c>
    </row>
    <row r="13" spans="1:8" x14ac:dyDescent="0.25">
      <c r="A13" s="2" t="s">
        <v>16</v>
      </c>
      <c r="B13" s="2" t="s">
        <v>19</v>
      </c>
      <c r="C13" s="2" t="s">
        <v>649</v>
      </c>
      <c r="D13" s="2" t="s">
        <v>18</v>
      </c>
      <c r="E13" s="3">
        <v>-4.78</v>
      </c>
      <c r="F13" s="3">
        <v>2.39</v>
      </c>
      <c r="G13" s="3">
        <v>-2.39</v>
      </c>
      <c r="H13" s="2" t="s">
        <v>12</v>
      </c>
    </row>
    <row r="14" spans="1:8" x14ac:dyDescent="0.25">
      <c r="A14" s="2" t="s">
        <v>160</v>
      </c>
      <c r="B14" s="2" t="s">
        <v>650</v>
      </c>
      <c r="C14" s="2" t="s">
        <v>632</v>
      </c>
      <c r="D14" s="2" t="s">
        <v>651</v>
      </c>
      <c r="E14" s="3">
        <v>-21.99</v>
      </c>
      <c r="F14" s="3">
        <v>0</v>
      </c>
      <c r="G14" s="3">
        <v>-21.99</v>
      </c>
      <c r="H14" s="2" t="s">
        <v>12</v>
      </c>
    </row>
    <row r="15" spans="1:8" x14ac:dyDescent="0.25">
      <c r="A15" s="2" t="s">
        <v>20</v>
      </c>
      <c r="B15" s="2" t="s">
        <v>652</v>
      </c>
      <c r="C15" s="2" t="s">
        <v>632</v>
      </c>
      <c r="D15" s="2" t="s">
        <v>381</v>
      </c>
      <c r="E15" s="3">
        <v>-73.19</v>
      </c>
      <c r="F15" s="3">
        <v>0</v>
      </c>
      <c r="G15" s="3">
        <v>-73.19</v>
      </c>
      <c r="H15" s="2" t="s">
        <v>12</v>
      </c>
    </row>
    <row r="16" spans="1:8" x14ac:dyDescent="0.25">
      <c r="A16" s="2" t="s">
        <v>20</v>
      </c>
      <c r="B16" s="2" t="s">
        <v>653</v>
      </c>
      <c r="C16" s="2" t="s">
        <v>632</v>
      </c>
      <c r="D16" s="2" t="s">
        <v>381</v>
      </c>
      <c r="E16" s="3">
        <v>-61</v>
      </c>
      <c r="F16" s="3">
        <v>0</v>
      </c>
      <c r="G16" s="3">
        <v>-61</v>
      </c>
      <c r="H16" s="2" t="s">
        <v>12</v>
      </c>
    </row>
    <row r="17" spans="1:8" x14ac:dyDescent="0.25">
      <c r="A17" s="2" t="s">
        <v>20</v>
      </c>
      <c r="B17" s="2" t="s">
        <v>654</v>
      </c>
      <c r="C17" s="2" t="s">
        <v>645</v>
      </c>
      <c r="D17" s="2" t="s">
        <v>633</v>
      </c>
      <c r="E17" s="3">
        <v>-35.6</v>
      </c>
      <c r="F17" s="3">
        <v>0</v>
      </c>
      <c r="G17" s="3">
        <v>-35.6</v>
      </c>
      <c r="H17" s="2" t="s">
        <v>12</v>
      </c>
    </row>
    <row r="18" spans="1:8" x14ac:dyDescent="0.25">
      <c r="A18" s="2" t="s">
        <v>20</v>
      </c>
      <c r="B18" s="2" t="s">
        <v>655</v>
      </c>
      <c r="C18" s="2" t="s">
        <v>632</v>
      </c>
      <c r="D18" s="2" t="s">
        <v>381</v>
      </c>
      <c r="E18" s="3">
        <v>-6.09</v>
      </c>
      <c r="F18" s="3">
        <v>0</v>
      </c>
      <c r="G18" s="3">
        <v>-6.09</v>
      </c>
      <c r="H18" s="2" t="s">
        <v>12</v>
      </c>
    </row>
    <row r="19" spans="1:8" x14ac:dyDescent="0.25">
      <c r="A19" s="2" t="s">
        <v>88</v>
      </c>
      <c r="B19" s="2" t="s">
        <v>656</v>
      </c>
      <c r="C19" s="2" t="s">
        <v>632</v>
      </c>
      <c r="D19" s="2" t="s">
        <v>657</v>
      </c>
      <c r="E19" s="3">
        <v>-17.75</v>
      </c>
      <c r="F19" s="3">
        <v>0</v>
      </c>
      <c r="G19" s="3">
        <v>-17.75</v>
      </c>
      <c r="H19" s="2" t="s">
        <v>12</v>
      </c>
    </row>
    <row r="20" spans="1:8" x14ac:dyDescent="0.25">
      <c r="A20" s="2" t="s">
        <v>88</v>
      </c>
      <c r="B20" s="2" t="s">
        <v>658</v>
      </c>
      <c r="C20" s="2" t="s">
        <v>632</v>
      </c>
      <c r="D20" s="2" t="s">
        <v>633</v>
      </c>
      <c r="E20" s="3">
        <v>-17.75</v>
      </c>
      <c r="F20" s="3">
        <v>0</v>
      </c>
      <c r="G20" s="3">
        <v>-17.75</v>
      </c>
      <c r="H20" s="2" t="s">
        <v>12</v>
      </c>
    </row>
    <row r="21" spans="1:8" x14ac:dyDescent="0.25">
      <c r="A21" s="2" t="s">
        <v>26</v>
      </c>
      <c r="B21" s="2" t="s">
        <v>27</v>
      </c>
      <c r="C21" s="2" t="s">
        <v>649</v>
      </c>
      <c r="D21" s="2" t="s">
        <v>18</v>
      </c>
      <c r="E21" s="3">
        <v>-4.34</v>
      </c>
      <c r="F21" s="3">
        <v>2.17</v>
      </c>
      <c r="G21" s="3">
        <v>-2.17</v>
      </c>
      <c r="H21" s="2" t="s">
        <v>12</v>
      </c>
    </row>
    <row r="22" spans="1:8" x14ac:dyDescent="0.25">
      <c r="A22" s="2" t="s">
        <v>26</v>
      </c>
      <c r="B22" s="2" t="s">
        <v>27</v>
      </c>
      <c r="C22" s="2" t="s">
        <v>645</v>
      </c>
      <c r="D22" s="2" t="s">
        <v>659</v>
      </c>
      <c r="E22" s="3">
        <v>55.65</v>
      </c>
      <c r="F22" s="3">
        <v>2.17</v>
      </c>
      <c r="G22" s="3">
        <v>53.48</v>
      </c>
      <c r="H22" s="2" t="s">
        <v>12</v>
      </c>
    </row>
    <row r="23" spans="1:8" x14ac:dyDescent="0.25">
      <c r="A23" s="2" t="s">
        <v>169</v>
      </c>
      <c r="B23" s="2" t="s">
        <v>660</v>
      </c>
      <c r="C23" s="2" t="s">
        <v>649</v>
      </c>
      <c r="D23" s="2" t="s">
        <v>18</v>
      </c>
      <c r="E23" s="3">
        <v>-1.38</v>
      </c>
      <c r="F23" s="3">
        <v>0.69</v>
      </c>
      <c r="G23" s="3">
        <v>-0.69</v>
      </c>
      <c r="H23" s="2" t="s">
        <v>12</v>
      </c>
    </row>
    <row r="24" spans="1:8" x14ac:dyDescent="0.25">
      <c r="A24" s="2" t="s">
        <v>169</v>
      </c>
      <c r="B24" s="2" t="s">
        <v>661</v>
      </c>
      <c r="C24" s="2" t="s">
        <v>645</v>
      </c>
      <c r="D24" s="2" t="s">
        <v>633</v>
      </c>
      <c r="E24" s="3">
        <v>-53.56</v>
      </c>
      <c r="F24" s="3">
        <v>0</v>
      </c>
      <c r="G24" s="3">
        <v>-53.56</v>
      </c>
      <c r="H24" s="2" t="s">
        <v>12</v>
      </c>
    </row>
    <row r="25" spans="1:8" x14ac:dyDescent="0.25">
      <c r="A25" s="2" t="s">
        <v>90</v>
      </c>
      <c r="B25" s="2" t="s">
        <v>662</v>
      </c>
      <c r="C25" s="2" t="s">
        <v>632</v>
      </c>
      <c r="D25" s="2" t="s">
        <v>633</v>
      </c>
      <c r="E25" s="3">
        <v>-48.64</v>
      </c>
      <c r="F25" s="3">
        <v>0</v>
      </c>
      <c r="G25" s="3">
        <v>-48.64</v>
      </c>
      <c r="H25" s="2" t="s">
        <v>12</v>
      </c>
    </row>
    <row r="26" spans="1:8" x14ac:dyDescent="0.25">
      <c r="A26" s="2" t="s">
        <v>90</v>
      </c>
      <c r="B26" s="2" t="s">
        <v>663</v>
      </c>
      <c r="C26" s="2" t="s">
        <v>642</v>
      </c>
      <c r="D26" s="2" t="s">
        <v>18</v>
      </c>
      <c r="E26" s="3">
        <v>0.09</v>
      </c>
      <c r="F26" s="3">
        <v>0</v>
      </c>
      <c r="G26" s="3">
        <v>0.09</v>
      </c>
      <c r="H26" s="2" t="s">
        <v>12</v>
      </c>
    </row>
    <row r="27" spans="1:8" x14ac:dyDescent="0.25">
      <c r="A27" s="2" t="s">
        <v>93</v>
      </c>
      <c r="B27" s="2" t="s">
        <v>664</v>
      </c>
      <c r="C27" s="2" t="s">
        <v>642</v>
      </c>
      <c r="D27" s="2" t="s">
        <v>18</v>
      </c>
      <c r="E27" s="3">
        <v>1.45</v>
      </c>
      <c r="F27" s="3">
        <v>0</v>
      </c>
      <c r="G27" s="3">
        <v>1.45</v>
      </c>
      <c r="H27" s="2" t="s">
        <v>12</v>
      </c>
    </row>
    <row r="28" spans="1:8" x14ac:dyDescent="0.25">
      <c r="A28" s="2" t="s">
        <v>93</v>
      </c>
      <c r="B28" s="2" t="s">
        <v>665</v>
      </c>
      <c r="C28" s="2" t="s">
        <v>632</v>
      </c>
      <c r="D28" s="2" t="s">
        <v>633</v>
      </c>
      <c r="E28" s="3">
        <v>-16.55</v>
      </c>
      <c r="F28" s="3">
        <v>0</v>
      </c>
      <c r="G28" s="3">
        <v>-16.55</v>
      </c>
      <c r="H28" s="2" t="s">
        <v>12</v>
      </c>
    </row>
    <row r="29" spans="1:8" x14ac:dyDescent="0.25">
      <c r="A29" s="2" t="s">
        <v>93</v>
      </c>
      <c r="B29" s="2" t="s">
        <v>666</v>
      </c>
      <c r="C29" s="2" t="s">
        <v>642</v>
      </c>
      <c r="D29" s="2" t="s">
        <v>18</v>
      </c>
      <c r="E29" s="3">
        <v>9.31</v>
      </c>
      <c r="F29" s="3">
        <v>0</v>
      </c>
      <c r="G29" s="3">
        <v>9.31</v>
      </c>
      <c r="H29" s="2" t="s">
        <v>12</v>
      </c>
    </row>
    <row r="30" spans="1:8" x14ac:dyDescent="0.25">
      <c r="A30" s="2" t="s">
        <v>93</v>
      </c>
      <c r="B30" s="2" t="s">
        <v>667</v>
      </c>
      <c r="C30" s="2" t="s">
        <v>632</v>
      </c>
      <c r="D30" s="2" t="s">
        <v>668</v>
      </c>
      <c r="E30" s="3">
        <v>-18</v>
      </c>
      <c r="F30" s="3">
        <v>0</v>
      </c>
      <c r="G30" s="3">
        <v>-18</v>
      </c>
      <c r="H30" s="2" t="s">
        <v>12</v>
      </c>
    </row>
    <row r="31" spans="1:8" x14ac:dyDescent="0.25">
      <c r="A31" s="2" t="s">
        <v>93</v>
      </c>
      <c r="B31" s="2" t="s">
        <v>669</v>
      </c>
      <c r="C31" s="2" t="s">
        <v>642</v>
      </c>
      <c r="D31" s="2" t="s">
        <v>668</v>
      </c>
      <c r="E31" s="3">
        <v>16.55</v>
      </c>
      <c r="F31" s="3">
        <v>0</v>
      </c>
      <c r="G31" s="3">
        <v>16.55</v>
      </c>
      <c r="H31" s="2" t="s">
        <v>12</v>
      </c>
    </row>
    <row r="32" spans="1:8" x14ac:dyDescent="0.25">
      <c r="A32" s="2" t="s">
        <v>93</v>
      </c>
      <c r="B32" s="2" t="s">
        <v>670</v>
      </c>
      <c r="C32" s="2" t="s">
        <v>632</v>
      </c>
      <c r="D32" s="2" t="s">
        <v>636</v>
      </c>
      <c r="E32" s="3">
        <v>-48.64</v>
      </c>
      <c r="F32" s="3">
        <v>0</v>
      </c>
      <c r="G32" s="3">
        <v>-48.64</v>
      </c>
      <c r="H32" s="2" t="s">
        <v>12</v>
      </c>
    </row>
    <row r="33" spans="1:8" x14ac:dyDescent="0.25">
      <c r="A33" s="2" t="s">
        <v>93</v>
      </c>
      <c r="B33" s="2" t="s">
        <v>671</v>
      </c>
      <c r="C33" s="2" t="s">
        <v>632</v>
      </c>
      <c r="D33" s="2" t="s">
        <v>636</v>
      </c>
      <c r="E33" s="3">
        <v>-57.95</v>
      </c>
      <c r="F33" s="3">
        <v>0</v>
      </c>
      <c r="G33" s="3">
        <v>-57.95</v>
      </c>
      <c r="H33" s="2" t="s">
        <v>12</v>
      </c>
    </row>
    <row r="34" spans="1:8" x14ac:dyDescent="0.25">
      <c r="A34" s="2" t="s">
        <v>30</v>
      </c>
      <c r="B34" s="2" t="s">
        <v>672</v>
      </c>
      <c r="C34" s="2" t="s">
        <v>645</v>
      </c>
      <c r="D34" s="2" t="s">
        <v>633</v>
      </c>
      <c r="E34" s="3">
        <v>-3.45</v>
      </c>
      <c r="F34" s="3">
        <v>0</v>
      </c>
      <c r="G34" s="3">
        <v>-3.45</v>
      </c>
      <c r="H34" s="2" t="s">
        <v>12</v>
      </c>
    </row>
    <row r="35" spans="1:8" x14ac:dyDescent="0.25">
      <c r="A35" s="2" t="s">
        <v>673</v>
      </c>
      <c r="B35" s="2" t="s">
        <v>674</v>
      </c>
      <c r="C35" s="2" t="s">
        <v>642</v>
      </c>
      <c r="D35" s="2" t="s">
        <v>18</v>
      </c>
      <c r="E35" s="3">
        <v>0.53</v>
      </c>
      <c r="F35" s="3">
        <v>0</v>
      </c>
      <c r="G35" s="3">
        <v>0.53</v>
      </c>
      <c r="H35" s="2" t="s">
        <v>12</v>
      </c>
    </row>
    <row r="36" spans="1:8" x14ac:dyDescent="0.25">
      <c r="A36" s="2" t="s">
        <v>33</v>
      </c>
      <c r="B36" s="2" t="s">
        <v>34</v>
      </c>
      <c r="C36" s="2" t="s">
        <v>649</v>
      </c>
      <c r="D36" s="2" t="s">
        <v>18</v>
      </c>
      <c r="E36" s="3">
        <v>-4.1</v>
      </c>
      <c r="F36" s="3">
        <v>2.05</v>
      </c>
      <c r="G36" s="3">
        <v>-2.05</v>
      </c>
      <c r="H36" s="2" t="s">
        <v>12</v>
      </c>
    </row>
    <row r="37" spans="1:8" x14ac:dyDescent="0.25">
      <c r="A37" s="2" t="s">
        <v>33</v>
      </c>
      <c r="B37" s="2" t="s">
        <v>34</v>
      </c>
      <c r="C37" s="2" t="s">
        <v>645</v>
      </c>
      <c r="D37" s="2" t="s">
        <v>675</v>
      </c>
      <c r="E37" s="3">
        <v>52.04</v>
      </c>
      <c r="F37" s="3">
        <v>2.05</v>
      </c>
      <c r="G37" s="3">
        <v>49.99</v>
      </c>
      <c r="H37" s="2" t="s">
        <v>12</v>
      </c>
    </row>
    <row r="38" spans="1:8" x14ac:dyDescent="0.25">
      <c r="A38" s="2" t="s">
        <v>186</v>
      </c>
      <c r="B38" s="2" t="s">
        <v>676</v>
      </c>
      <c r="C38" s="2" t="s">
        <v>645</v>
      </c>
      <c r="D38" s="2" t="s">
        <v>633</v>
      </c>
      <c r="E38" s="3">
        <v>-48.48</v>
      </c>
      <c r="F38" s="3">
        <v>0</v>
      </c>
      <c r="G38" s="3">
        <v>-48.48</v>
      </c>
      <c r="H38" s="2" t="s">
        <v>12</v>
      </c>
    </row>
    <row r="39" spans="1:8" x14ac:dyDescent="0.25">
      <c r="A39" s="2" t="s">
        <v>37</v>
      </c>
      <c r="B39" s="2" t="s">
        <v>38</v>
      </c>
      <c r="C39" s="2" t="s">
        <v>649</v>
      </c>
      <c r="D39" s="2" t="s">
        <v>18</v>
      </c>
      <c r="E39" s="3">
        <v>-2.84</v>
      </c>
      <c r="F39" s="3">
        <v>1.42</v>
      </c>
      <c r="G39" s="3">
        <v>-1.42</v>
      </c>
      <c r="H39" s="2" t="s">
        <v>12</v>
      </c>
    </row>
    <row r="40" spans="1:8" x14ac:dyDescent="0.25">
      <c r="A40" s="2" t="s">
        <v>37</v>
      </c>
      <c r="B40" s="2" t="s">
        <v>39</v>
      </c>
      <c r="C40" s="2" t="s">
        <v>645</v>
      </c>
      <c r="D40" s="2" t="s">
        <v>648</v>
      </c>
      <c r="E40" s="3">
        <v>32.9</v>
      </c>
      <c r="F40" s="3">
        <v>1.42</v>
      </c>
      <c r="G40" s="3">
        <v>31.48</v>
      </c>
      <c r="H40" s="2" t="s">
        <v>12</v>
      </c>
    </row>
    <row r="41" spans="1:8" x14ac:dyDescent="0.25">
      <c r="A41" s="2" t="s">
        <v>37</v>
      </c>
      <c r="B41" s="2" t="s">
        <v>39</v>
      </c>
      <c r="C41" s="2" t="s">
        <v>649</v>
      </c>
      <c r="D41" s="2" t="s">
        <v>18</v>
      </c>
      <c r="E41" s="3">
        <v>-2.84</v>
      </c>
      <c r="F41" s="3">
        <v>1.42</v>
      </c>
      <c r="G41" s="3">
        <v>-1.42</v>
      </c>
      <c r="H41" s="2" t="s">
        <v>12</v>
      </c>
    </row>
    <row r="42" spans="1:8" x14ac:dyDescent="0.25">
      <c r="A42" s="2" t="s">
        <v>37</v>
      </c>
      <c r="B42" s="2" t="s">
        <v>38</v>
      </c>
      <c r="C42" s="2" t="s">
        <v>645</v>
      </c>
      <c r="D42" s="2" t="s">
        <v>648</v>
      </c>
      <c r="E42" s="3">
        <v>32.9</v>
      </c>
      <c r="F42" s="3">
        <v>1.42</v>
      </c>
      <c r="G42" s="3">
        <v>31.48</v>
      </c>
      <c r="H42" s="2" t="s">
        <v>12</v>
      </c>
    </row>
    <row r="43" spans="1:8" x14ac:dyDescent="0.25">
      <c r="A43" s="2" t="s">
        <v>40</v>
      </c>
      <c r="B43" s="2" t="s">
        <v>677</v>
      </c>
      <c r="C43" s="2" t="s">
        <v>632</v>
      </c>
      <c r="D43" s="2" t="s">
        <v>396</v>
      </c>
      <c r="E43" s="3">
        <v>-21.99</v>
      </c>
      <c r="F43" s="3">
        <v>0</v>
      </c>
      <c r="G43" s="3">
        <v>-21.99</v>
      </c>
      <c r="H43" s="2" t="s">
        <v>12</v>
      </c>
    </row>
    <row r="44" spans="1:8" x14ac:dyDescent="0.25">
      <c r="A44" s="2" t="s">
        <v>40</v>
      </c>
      <c r="B44" s="2" t="s">
        <v>41</v>
      </c>
      <c r="C44" s="2" t="s">
        <v>649</v>
      </c>
      <c r="D44" s="2" t="s">
        <v>18</v>
      </c>
      <c r="E44" s="3">
        <v>-2.9</v>
      </c>
      <c r="F44" s="3">
        <v>1.45</v>
      </c>
      <c r="G44" s="3">
        <v>-1.45</v>
      </c>
      <c r="H44" s="2" t="s">
        <v>12</v>
      </c>
    </row>
    <row r="45" spans="1:8" x14ac:dyDescent="0.25">
      <c r="A45" s="2" t="s">
        <v>40</v>
      </c>
      <c r="B45" s="2" t="s">
        <v>41</v>
      </c>
      <c r="C45" s="2" t="s">
        <v>645</v>
      </c>
      <c r="D45" s="2" t="s">
        <v>678</v>
      </c>
      <c r="E45" s="3">
        <v>33.93</v>
      </c>
      <c r="F45" s="3">
        <v>1.45</v>
      </c>
      <c r="G45" s="3">
        <v>32.48</v>
      </c>
      <c r="H45" s="2" t="s">
        <v>12</v>
      </c>
    </row>
    <row r="46" spans="1:8" x14ac:dyDescent="0.25">
      <c r="A46" s="2" t="s">
        <v>40</v>
      </c>
      <c r="B46" s="2" t="s">
        <v>679</v>
      </c>
      <c r="C46" s="2" t="s">
        <v>632</v>
      </c>
      <c r="D46" s="2" t="s">
        <v>633</v>
      </c>
      <c r="E46" s="3">
        <v>-30</v>
      </c>
      <c r="F46" s="3">
        <v>0</v>
      </c>
      <c r="G46" s="3">
        <v>-30</v>
      </c>
      <c r="H46" s="2" t="s">
        <v>12</v>
      </c>
    </row>
    <row r="47" spans="1:8" x14ac:dyDescent="0.25">
      <c r="A47" s="2" t="s">
        <v>680</v>
      </c>
      <c r="B47" s="2" t="s">
        <v>681</v>
      </c>
      <c r="C47" s="2" t="s">
        <v>632</v>
      </c>
      <c r="D47" s="2" t="s">
        <v>682</v>
      </c>
      <c r="E47" s="3">
        <v>-30</v>
      </c>
      <c r="F47" s="3">
        <v>0</v>
      </c>
      <c r="G47" s="3">
        <v>-30</v>
      </c>
      <c r="H47" s="2" t="s">
        <v>12</v>
      </c>
    </row>
    <row r="48" spans="1:8" x14ac:dyDescent="0.25">
      <c r="A48" s="2" t="s">
        <v>680</v>
      </c>
      <c r="B48" s="2" t="s">
        <v>683</v>
      </c>
      <c r="C48" s="2" t="s">
        <v>632</v>
      </c>
      <c r="D48" s="2" t="s">
        <v>682</v>
      </c>
      <c r="E48" s="3">
        <v>-30</v>
      </c>
      <c r="F48" s="3">
        <v>0</v>
      </c>
      <c r="G48" s="3">
        <v>-30</v>
      </c>
      <c r="H48" s="2" t="s">
        <v>12</v>
      </c>
    </row>
    <row r="49" spans="1:8" x14ac:dyDescent="0.25">
      <c r="A49" s="2" t="s">
        <v>97</v>
      </c>
      <c r="B49" s="2" t="s">
        <v>684</v>
      </c>
      <c r="C49" s="2" t="s">
        <v>642</v>
      </c>
      <c r="D49" s="2" t="s">
        <v>18</v>
      </c>
      <c r="E49" s="3">
        <v>0.15</v>
      </c>
      <c r="F49" s="3">
        <v>0</v>
      </c>
      <c r="G49" s="3">
        <v>0.15</v>
      </c>
      <c r="H49" s="2" t="s">
        <v>12</v>
      </c>
    </row>
    <row r="50" spans="1:8" x14ac:dyDescent="0.25">
      <c r="A50" s="2" t="s">
        <v>542</v>
      </c>
      <c r="B50" s="2" t="s">
        <v>685</v>
      </c>
      <c r="C50" s="2" t="s">
        <v>632</v>
      </c>
      <c r="D50" s="2" t="s">
        <v>633</v>
      </c>
      <c r="E50" s="3">
        <v>-3.85</v>
      </c>
      <c r="F50" s="3">
        <v>0</v>
      </c>
      <c r="G50" s="3">
        <v>-3.85</v>
      </c>
      <c r="H50" s="2" t="s">
        <v>12</v>
      </c>
    </row>
    <row r="51" spans="1:8" x14ac:dyDescent="0.25">
      <c r="A51" s="2" t="s">
        <v>542</v>
      </c>
      <c r="B51" s="2" t="s">
        <v>686</v>
      </c>
      <c r="C51" s="2" t="s">
        <v>632</v>
      </c>
      <c r="D51" s="2" t="s">
        <v>687</v>
      </c>
      <c r="E51" s="3">
        <v>-3.85</v>
      </c>
      <c r="F51" s="3">
        <v>0</v>
      </c>
      <c r="G51" s="3">
        <v>-3.85</v>
      </c>
      <c r="H51" s="2" t="s">
        <v>12</v>
      </c>
    </row>
    <row r="52" spans="1:8" x14ac:dyDescent="0.25">
      <c r="A52" s="2" t="s">
        <v>542</v>
      </c>
      <c r="B52" s="2" t="s">
        <v>688</v>
      </c>
      <c r="C52" s="2" t="s">
        <v>642</v>
      </c>
      <c r="D52" s="2" t="s">
        <v>18</v>
      </c>
      <c r="E52" s="3">
        <v>0.15</v>
      </c>
      <c r="F52" s="3">
        <v>0</v>
      </c>
      <c r="G52" s="3">
        <v>0.15</v>
      </c>
      <c r="H52" s="2" t="s">
        <v>12</v>
      </c>
    </row>
    <row r="53" spans="1:8" x14ac:dyDescent="0.25">
      <c r="A53" s="2" t="s">
        <v>542</v>
      </c>
      <c r="B53" s="2" t="s">
        <v>689</v>
      </c>
      <c r="C53" s="2" t="s">
        <v>632</v>
      </c>
      <c r="D53" s="2" t="s">
        <v>687</v>
      </c>
      <c r="E53" s="3">
        <v>-4</v>
      </c>
      <c r="F53" s="3">
        <v>0</v>
      </c>
      <c r="G53" s="3">
        <v>-4</v>
      </c>
      <c r="H53" s="2" t="s">
        <v>12</v>
      </c>
    </row>
    <row r="54" spans="1:8" x14ac:dyDescent="0.25">
      <c r="A54" s="2" t="s">
        <v>201</v>
      </c>
      <c r="B54" s="2" t="s">
        <v>690</v>
      </c>
      <c r="C54" s="2" t="s">
        <v>632</v>
      </c>
      <c r="D54" s="2" t="s">
        <v>687</v>
      </c>
      <c r="E54" s="3">
        <v>-4</v>
      </c>
      <c r="F54" s="3">
        <v>0</v>
      </c>
      <c r="G54" s="3">
        <v>-4</v>
      </c>
      <c r="H54" s="2" t="s">
        <v>12</v>
      </c>
    </row>
    <row r="55" spans="1:8" x14ac:dyDescent="0.25">
      <c r="A55" s="2" t="s">
        <v>205</v>
      </c>
      <c r="B55" s="2" t="s">
        <v>691</v>
      </c>
      <c r="C55" s="2" t="s">
        <v>645</v>
      </c>
      <c r="D55" s="2" t="s">
        <v>633</v>
      </c>
      <c r="E55" s="3">
        <v>-5.15</v>
      </c>
      <c r="F55" s="3">
        <v>0</v>
      </c>
      <c r="G55" s="3">
        <v>-5.15</v>
      </c>
      <c r="H55" s="2" t="s">
        <v>12</v>
      </c>
    </row>
    <row r="56" spans="1:8" x14ac:dyDescent="0.25">
      <c r="A56" s="2" t="s">
        <v>107</v>
      </c>
      <c r="B56" s="2" t="s">
        <v>692</v>
      </c>
      <c r="C56" s="2" t="s">
        <v>632</v>
      </c>
      <c r="D56" s="2" t="s">
        <v>657</v>
      </c>
      <c r="E56" s="3">
        <v>-17.75</v>
      </c>
      <c r="F56" s="3">
        <v>0</v>
      </c>
      <c r="G56" s="3">
        <v>-17.75</v>
      </c>
      <c r="H56" s="2" t="s">
        <v>12</v>
      </c>
    </row>
    <row r="57" spans="1:8" x14ac:dyDescent="0.25">
      <c r="A57" s="2" t="s">
        <v>107</v>
      </c>
      <c r="B57" s="2" t="s">
        <v>693</v>
      </c>
      <c r="C57" s="2" t="s">
        <v>632</v>
      </c>
      <c r="D57" s="2" t="s">
        <v>633</v>
      </c>
      <c r="E57" s="3">
        <v>-17.75</v>
      </c>
      <c r="F57" s="3">
        <v>0</v>
      </c>
      <c r="G57" s="3">
        <v>-17.75</v>
      </c>
      <c r="H57" s="2" t="s">
        <v>12</v>
      </c>
    </row>
    <row r="58" spans="1:8" x14ac:dyDescent="0.25">
      <c r="A58" s="2" t="s">
        <v>107</v>
      </c>
      <c r="B58" s="2" t="s">
        <v>694</v>
      </c>
      <c r="C58" s="2" t="s">
        <v>642</v>
      </c>
      <c r="D58" s="2" t="s">
        <v>18</v>
      </c>
      <c r="E58" s="3">
        <v>0.02</v>
      </c>
      <c r="F58" s="3">
        <v>0</v>
      </c>
      <c r="G58" s="3">
        <v>0.02</v>
      </c>
      <c r="H58" s="2" t="s">
        <v>12</v>
      </c>
    </row>
    <row r="59" spans="1:8" x14ac:dyDescent="0.25">
      <c r="A59" s="2" t="s">
        <v>207</v>
      </c>
      <c r="B59" s="2" t="s">
        <v>695</v>
      </c>
      <c r="C59" s="2" t="s">
        <v>632</v>
      </c>
      <c r="D59" s="2" t="s">
        <v>687</v>
      </c>
      <c r="E59" s="3">
        <v>-4</v>
      </c>
      <c r="F59" s="3">
        <v>0</v>
      </c>
      <c r="G59" s="3">
        <v>-4</v>
      </c>
      <c r="H59" s="2" t="s">
        <v>12</v>
      </c>
    </row>
    <row r="60" spans="1:8" x14ac:dyDescent="0.25">
      <c r="A60" s="2" t="s">
        <v>109</v>
      </c>
      <c r="B60" s="2" t="s">
        <v>696</v>
      </c>
      <c r="C60" s="2" t="s">
        <v>642</v>
      </c>
      <c r="D60" s="2" t="s">
        <v>18</v>
      </c>
      <c r="E60" s="3">
        <v>2.27</v>
      </c>
      <c r="F60" s="3">
        <v>0</v>
      </c>
      <c r="G60" s="3">
        <v>2.27</v>
      </c>
      <c r="H60" s="2" t="s">
        <v>12</v>
      </c>
    </row>
    <row r="61" spans="1:8" x14ac:dyDescent="0.25">
      <c r="A61" s="2" t="s">
        <v>109</v>
      </c>
      <c r="B61" s="2" t="s">
        <v>697</v>
      </c>
      <c r="C61" s="2" t="s">
        <v>632</v>
      </c>
      <c r="D61" s="2" t="s">
        <v>698</v>
      </c>
      <c r="E61" s="3">
        <v>-18</v>
      </c>
      <c r="F61" s="3">
        <v>0</v>
      </c>
      <c r="G61" s="3">
        <v>-18</v>
      </c>
      <c r="H61" s="2" t="s">
        <v>12</v>
      </c>
    </row>
    <row r="62" spans="1:8" x14ac:dyDescent="0.25">
      <c r="A62" s="2" t="s">
        <v>109</v>
      </c>
      <c r="B62" s="2" t="s">
        <v>699</v>
      </c>
      <c r="C62" s="2" t="s">
        <v>632</v>
      </c>
      <c r="D62" s="2" t="s">
        <v>633</v>
      </c>
      <c r="E62" s="3">
        <v>-15.73</v>
      </c>
      <c r="F62" s="3">
        <v>0</v>
      </c>
      <c r="G62" s="3">
        <v>-15.73</v>
      </c>
      <c r="H62" s="2" t="s">
        <v>12</v>
      </c>
    </row>
    <row r="63" spans="1:8" x14ac:dyDescent="0.25">
      <c r="A63" s="2" t="s">
        <v>109</v>
      </c>
      <c r="B63" s="2" t="s">
        <v>700</v>
      </c>
      <c r="C63" s="2" t="s">
        <v>642</v>
      </c>
      <c r="D63" s="2" t="s">
        <v>698</v>
      </c>
      <c r="E63" s="3">
        <v>15.73</v>
      </c>
      <c r="F63" s="3">
        <v>0</v>
      </c>
      <c r="G63" s="3">
        <v>15.73</v>
      </c>
      <c r="H63" s="2" t="s">
        <v>12</v>
      </c>
    </row>
    <row r="64" spans="1:8" x14ac:dyDescent="0.25">
      <c r="A64" s="2" t="s">
        <v>210</v>
      </c>
      <c r="B64" s="2" t="s">
        <v>701</v>
      </c>
      <c r="C64" s="2" t="s">
        <v>632</v>
      </c>
      <c r="D64" s="2" t="s">
        <v>633</v>
      </c>
      <c r="E64" s="3">
        <v>-17.34</v>
      </c>
      <c r="F64" s="3">
        <v>0</v>
      </c>
      <c r="G64" s="3">
        <v>-17.34</v>
      </c>
      <c r="H64" s="2" t="s">
        <v>12</v>
      </c>
    </row>
    <row r="65" spans="1:8" x14ac:dyDescent="0.25">
      <c r="A65" s="2" t="s">
        <v>210</v>
      </c>
      <c r="B65" s="2" t="s">
        <v>702</v>
      </c>
      <c r="C65" s="2" t="s">
        <v>645</v>
      </c>
      <c r="D65" s="2" t="s">
        <v>633</v>
      </c>
      <c r="E65" s="3">
        <v>-4.27</v>
      </c>
      <c r="F65" s="3">
        <v>0</v>
      </c>
      <c r="G65" s="3">
        <v>-4.27</v>
      </c>
      <c r="H65" s="2" t="s">
        <v>12</v>
      </c>
    </row>
    <row r="66" spans="1:8" x14ac:dyDescent="0.25">
      <c r="A66" s="2" t="s">
        <v>212</v>
      </c>
      <c r="B66" s="2" t="s">
        <v>703</v>
      </c>
      <c r="C66" s="2" t="s">
        <v>642</v>
      </c>
      <c r="D66" s="2" t="s">
        <v>18</v>
      </c>
      <c r="E66" s="3">
        <v>0.18</v>
      </c>
      <c r="F66" s="3">
        <v>0</v>
      </c>
      <c r="G66" s="3">
        <v>0.18</v>
      </c>
      <c r="H66" s="2" t="s">
        <v>12</v>
      </c>
    </row>
    <row r="67" spans="1:8" x14ac:dyDescent="0.25">
      <c r="A67" s="2" t="s">
        <v>214</v>
      </c>
      <c r="B67" s="2" t="s">
        <v>704</v>
      </c>
      <c r="C67" s="2" t="s">
        <v>642</v>
      </c>
      <c r="D67" s="2" t="s">
        <v>705</v>
      </c>
      <c r="E67" s="3">
        <v>17.34</v>
      </c>
      <c r="F67" s="3">
        <v>0</v>
      </c>
      <c r="G67" s="3">
        <v>17.34</v>
      </c>
      <c r="H67" s="2" t="s">
        <v>12</v>
      </c>
    </row>
    <row r="68" spans="1:8" x14ac:dyDescent="0.25">
      <c r="A68" s="2" t="s">
        <v>214</v>
      </c>
      <c r="B68" s="2" t="s">
        <v>706</v>
      </c>
      <c r="C68" s="2" t="s">
        <v>632</v>
      </c>
      <c r="D68" s="2" t="s">
        <v>705</v>
      </c>
      <c r="E68" s="3">
        <v>-17.34</v>
      </c>
      <c r="F68" s="3">
        <v>0</v>
      </c>
      <c r="G68" s="3">
        <v>-17.34</v>
      </c>
      <c r="H68" s="2" t="s">
        <v>12</v>
      </c>
    </row>
    <row r="69" spans="1:8" x14ac:dyDescent="0.25">
      <c r="A69" s="2" t="s">
        <v>707</v>
      </c>
      <c r="B69" s="2" t="s">
        <v>708</v>
      </c>
      <c r="C69" s="2" t="s">
        <v>632</v>
      </c>
      <c r="D69" s="2" t="s">
        <v>633</v>
      </c>
      <c r="E69" s="3">
        <v>-23.08</v>
      </c>
      <c r="F69" s="3">
        <v>0</v>
      </c>
      <c r="G69" s="3">
        <v>-23.08</v>
      </c>
      <c r="H69" s="2" t="s">
        <v>12</v>
      </c>
    </row>
    <row r="70" spans="1:8" x14ac:dyDescent="0.25">
      <c r="A70" s="2" t="s">
        <v>46</v>
      </c>
      <c r="B70" s="2" t="s">
        <v>709</v>
      </c>
      <c r="C70" s="2" t="s">
        <v>632</v>
      </c>
      <c r="D70" s="2" t="s">
        <v>710</v>
      </c>
      <c r="E70" s="3">
        <v>-25.92</v>
      </c>
      <c r="F70" s="3">
        <v>0</v>
      </c>
      <c r="G70" s="3">
        <v>-25.92</v>
      </c>
      <c r="H70" s="2" t="s">
        <v>12</v>
      </c>
    </row>
    <row r="71" spans="1:8" x14ac:dyDescent="0.25">
      <c r="A71" s="2" t="s">
        <v>46</v>
      </c>
      <c r="B71" s="2" t="s">
        <v>711</v>
      </c>
      <c r="C71" s="2" t="s">
        <v>642</v>
      </c>
      <c r="D71" s="2" t="s">
        <v>18</v>
      </c>
      <c r="E71" s="3">
        <v>2.84</v>
      </c>
      <c r="F71" s="3">
        <v>0</v>
      </c>
      <c r="G71" s="3">
        <v>2.84</v>
      </c>
      <c r="H71" s="2" t="s">
        <v>12</v>
      </c>
    </row>
    <row r="72" spans="1:8" x14ac:dyDescent="0.25">
      <c r="A72" s="2" t="s">
        <v>46</v>
      </c>
      <c r="B72" s="2" t="s">
        <v>712</v>
      </c>
      <c r="C72" s="2" t="s">
        <v>642</v>
      </c>
      <c r="D72" s="2" t="s">
        <v>710</v>
      </c>
      <c r="E72" s="3">
        <v>23.08</v>
      </c>
      <c r="F72" s="3">
        <v>0</v>
      </c>
      <c r="G72" s="3">
        <v>23.08</v>
      </c>
      <c r="H72" s="2" t="s">
        <v>12</v>
      </c>
    </row>
    <row r="73" spans="1:8" x14ac:dyDescent="0.25">
      <c r="A73" s="2" t="s">
        <v>713</v>
      </c>
      <c r="B73" s="2" t="s">
        <v>714</v>
      </c>
      <c r="C73" s="2" t="s">
        <v>642</v>
      </c>
      <c r="D73" s="2" t="s">
        <v>705</v>
      </c>
      <c r="E73" s="3">
        <v>17.39</v>
      </c>
      <c r="F73" s="3">
        <v>0</v>
      </c>
      <c r="G73" s="3">
        <v>17.39</v>
      </c>
      <c r="H73" s="2" t="s">
        <v>12</v>
      </c>
    </row>
    <row r="74" spans="1:8" x14ac:dyDescent="0.25">
      <c r="A74" s="2" t="s">
        <v>217</v>
      </c>
      <c r="B74" s="2" t="s">
        <v>715</v>
      </c>
      <c r="C74" s="2" t="s">
        <v>645</v>
      </c>
      <c r="D74" s="2" t="s">
        <v>633</v>
      </c>
      <c r="E74" s="3">
        <v>-19.31</v>
      </c>
      <c r="F74" s="3">
        <v>0</v>
      </c>
      <c r="G74" s="3">
        <v>-19.31</v>
      </c>
      <c r="H74" s="2" t="s">
        <v>12</v>
      </c>
    </row>
    <row r="75" spans="1:8" x14ac:dyDescent="0.25">
      <c r="A75" s="2" t="s">
        <v>48</v>
      </c>
      <c r="B75" s="2" t="s">
        <v>716</v>
      </c>
      <c r="C75" s="2" t="s">
        <v>642</v>
      </c>
      <c r="D75" s="2" t="s">
        <v>18</v>
      </c>
      <c r="E75" s="3">
        <v>0.22</v>
      </c>
      <c r="F75" s="3">
        <v>0</v>
      </c>
      <c r="G75" s="3">
        <v>0.22</v>
      </c>
      <c r="H75" s="2" t="s">
        <v>12</v>
      </c>
    </row>
    <row r="76" spans="1:8" x14ac:dyDescent="0.25">
      <c r="A76" s="2" t="s">
        <v>50</v>
      </c>
      <c r="B76" s="2" t="s">
        <v>52</v>
      </c>
      <c r="C76" s="2" t="s">
        <v>645</v>
      </c>
      <c r="D76" s="2" t="s">
        <v>648</v>
      </c>
      <c r="E76" s="3">
        <v>32.9</v>
      </c>
      <c r="F76" s="3">
        <v>1.42</v>
      </c>
      <c r="G76" s="3">
        <v>31.48</v>
      </c>
      <c r="H76" s="2" t="s">
        <v>12</v>
      </c>
    </row>
    <row r="77" spans="1:8" x14ac:dyDescent="0.25">
      <c r="A77" s="2" t="s">
        <v>50</v>
      </c>
      <c r="B77" s="2" t="s">
        <v>717</v>
      </c>
      <c r="C77" s="2" t="s">
        <v>632</v>
      </c>
      <c r="D77" s="2" t="s">
        <v>421</v>
      </c>
      <c r="E77" s="3">
        <v>-0.99</v>
      </c>
      <c r="F77" s="3">
        <v>0</v>
      </c>
      <c r="G77" s="3">
        <v>-0.99</v>
      </c>
      <c r="H77" s="2" t="s">
        <v>12</v>
      </c>
    </row>
    <row r="78" spans="1:8" x14ac:dyDescent="0.25">
      <c r="A78" s="2" t="s">
        <v>50</v>
      </c>
      <c r="B78" s="2" t="s">
        <v>51</v>
      </c>
      <c r="C78" s="2" t="s">
        <v>649</v>
      </c>
      <c r="D78" s="2" t="s">
        <v>18</v>
      </c>
      <c r="E78" s="3">
        <v>-2.84</v>
      </c>
      <c r="F78" s="3">
        <v>1.42</v>
      </c>
      <c r="G78" s="3">
        <v>-1.42</v>
      </c>
      <c r="H78" s="2" t="s">
        <v>12</v>
      </c>
    </row>
    <row r="79" spans="1:8" x14ac:dyDescent="0.25">
      <c r="A79" s="2" t="s">
        <v>50</v>
      </c>
      <c r="B79" s="2" t="s">
        <v>52</v>
      </c>
      <c r="C79" s="2" t="s">
        <v>649</v>
      </c>
      <c r="D79" s="2" t="s">
        <v>18</v>
      </c>
      <c r="E79" s="3">
        <v>-2.84</v>
      </c>
      <c r="F79" s="3">
        <v>1.42</v>
      </c>
      <c r="G79" s="3">
        <v>-1.42</v>
      </c>
      <c r="H79" s="2" t="s">
        <v>12</v>
      </c>
    </row>
    <row r="80" spans="1:8" x14ac:dyDescent="0.25">
      <c r="A80" s="2" t="s">
        <v>50</v>
      </c>
      <c r="B80" s="2" t="s">
        <v>51</v>
      </c>
      <c r="C80" s="2" t="s">
        <v>645</v>
      </c>
      <c r="D80" s="2" t="s">
        <v>648</v>
      </c>
      <c r="E80" s="3">
        <v>32.9</v>
      </c>
      <c r="F80" s="3">
        <v>1.42</v>
      </c>
      <c r="G80" s="3">
        <v>31.48</v>
      </c>
      <c r="H80" s="2" t="s">
        <v>12</v>
      </c>
    </row>
    <row r="81" spans="1:8" x14ac:dyDescent="0.25">
      <c r="A81" s="2" t="s">
        <v>53</v>
      </c>
      <c r="B81" s="2" t="s">
        <v>718</v>
      </c>
      <c r="C81" s="2" t="s">
        <v>645</v>
      </c>
      <c r="D81" s="2" t="s">
        <v>633</v>
      </c>
      <c r="E81" s="3">
        <v>-0.22</v>
      </c>
      <c r="F81" s="3">
        <v>0</v>
      </c>
      <c r="G81" s="3">
        <v>-0.22</v>
      </c>
      <c r="H81" s="2" t="s">
        <v>12</v>
      </c>
    </row>
    <row r="82" spans="1:8" x14ac:dyDescent="0.25">
      <c r="A82" s="2" t="s">
        <v>719</v>
      </c>
      <c r="B82" s="2" t="s">
        <v>720</v>
      </c>
      <c r="C82" s="2" t="s">
        <v>632</v>
      </c>
      <c r="D82" s="2" t="s">
        <v>651</v>
      </c>
      <c r="E82" s="3">
        <v>-21.99</v>
      </c>
      <c r="F82" s="3">
        <v>0</v>
      </c>
      <c r="G82" s="3">
        <v>-21.99</v>
      </c>
      <c r="H82" s="2" t="s">
        <v>12</v>
      </c>
    </row>
    <row r="83" spans="1:8" x14ac:dyDescent="0.25">
      <c r="D83" s="5" t="s">
        <v>55</v>
      </c>
      <c r="E83" s="6">
        <f>SUM(E2:E82)</f>
      </c>
      <c r="F83" s="6">
        <f>SUM(F2:F82)</f>
      </c>
      <c r="G83" s="6">
        <f>SUM(G2:G82)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FormatPr defaultRowHeight="15" outlineLevelRow="0" outlineLevelCol="0" x14ac:dyDescent="55"/>
  <cols>
    <col min="1" max="1" width="64" customWidth="1"/>
    <col min="2" max="2" width="53" customWidth="1"/>
    <col min="3" max="3" width="64" customWidth="1"/>
    <col min="4" max="4" width="12" customWidth="1"/>
    <col min="5" max="5" width="13" customWidth="1"/>
    <col min="6" max="6" width="18" customWidth="1"/>
  </cols>
  <sheetData>
    <row r="1" spans="1:6" x14ac:dyDescent="0.25">
      <c r="A1" s="12" t="s">
        <v>721</v>
      </c>
    </row>
    <row r="2" spans="1:6" x14ac:dyDescent="0.25">
      <c r="A2" t="s">
        <v>722</v>
      </c>
    </row>
    <row r="3" spans="1:6" x14ac:dyDescent="0.25">
      <c r="A3" t="s">
        <v>723</v>
      </c>
    </row>
    <row r="4" spans="1:6" x14ac:dyDescent="0.25">
      <c r="A4" t="s">
        <v>724</v>
      </c>
    </row>
    <row r="5" spans="1:6" x14ac:dyDescent="0.25"/>
    <row r="6" spans="1:6" x14ac:dyDescent="0.25">
      <c r="A6" s="8" t="s">
        <v>725</v>
      </c>
    </row>
    <row r="7" ht="24" customHeight="1" spans="1:6" x14ac:dyDescent="0.25">
      <c r="A7" s="1" t="s">
        <v>726</v>
      </c>
      <c r="B7" s="1" t="s">
        <v>727</v>
      </c>
      <c r="C7" s="1" t="s">
        <v>728</v>
      </c>
      <c r="D7" s="1" t="s">
        <v>729</v>
      </c>
      <c r="E7" s="1" t="s">
        <v>730</v>
      </c>
      <c r="F7" s="1" t="s">
        <v>731</v>
      </c>
    </row>
    <row r="8" spans="1:6" x14ac:dyDescent="0.25">
      <c r="A8" s="2" t="s">
        <v>732</v>
      </c>
      <c r="B8" s="2" t="s">
        <v>733</v>
      </c>
      <c r="C8" s="2">
        <v>19</v>
      </c>
      <c r="D8" s="2">
        <v>0</v>
      </c>
      <c r="E8" s="2">
        <v>19</v>
      </c>
      <c r="F8" s="4" t="s">
        <v>734</v>
      </c>
    </row>
    <row r="9" spans="1:6" x14ac:dyDescent="0.25">
      <c r="A9" s="2" t="s">
        <v>735</v>
      </c>
      <c r="B9" s="2" t="s">
        <v>736</v>
      </c>
      <c r="C9" s="3">
        <v>387.9</v>
      </c>
      <c r="D9" s="3">
        <v>0</v>
      </c>
      <c r="E9" s="3">
        <v>387.9</v>
      </c>
      <c r="F9" s="4" t="s">
        <v>734</v>
      </c>
    </row>
    <row r="10" spans="1:6" x14ac:dyDescent="0.25">
      <c r="A10" s="2" t="s">
        <v>737</v>
      </c>
      <c r="B10" s="2" t="s">
        <v>738</v>
      </c>
      <c r="C10" s="3">
        <v>0</v>
      </c>
      <c r="D10" s="3">
        <v>0</v>
      </c>
      <c r="E10" s="3">
        <v>0</v>
      </c>
      <c r="F10" s="2" t="s">
        <v>739</v>
      </c>
    </row>
    <row r="11" spans="1:6" x14ac:dyDescent="0.25">
      <c r="A11" s="2" t="s">
        <v>740</v>
      </c>
      <c r="B11" s="2" t="s">
        <v>741</v>
      </c>
      <c r="C11" s="3">
        <v>387.06</v>
      </c>
      <c r="D11" s="3">
        <v>0</v>
      </c>
      <c r="E11" s="3">
        <v>387.06</v>
      </c>
      <c r="F11" s="4" t="s">
        <v>734</v>
      </c>
    </row>
    <row r="12" spans="1:6" x14ac:dyDescent="0.25">
      <c r="A12" s="2" t="s">
        <v>742</v>
      </c>
      <c r="B12" s="2" t="s">
        <v>743</v>
      </c>
      <c r="C12" s="3">
        <v>18.4</v>
      </c>
      <c r="D12" s="3">
        <v>0</v>
      </c>
      <c r="E12" s="3">
        <v>18.4</v>
      </c>
      <c r="F12" s="4" t="s">
        <v>734</v>
      </c>
    </row>
    <row r="13" spans="1:6" x14ac:dyDescent="0.25">
      <c r="A13" s="2" t="s">
        <v>744</v>
      </c>
      <c r="B13" s="2" t="s">
        <v>745</v>
      </c>
      <c r="C13" s="2">
        <v>6</v>
      </c>
      <c r="D13" s="2">
        <v>0</v>
      </c>
      <c r="E13" s="2">
        <v>6</v>
      </c>
      <c r="F13" s="4" t="s">
        <v>734</v>
      </c>
    </row>
    <row r="14" spans="1:6" x14ac:dyDescent="0.25">
      <c r="A14" s="2" t="s">
        <v>746</v>
      </c>
      <c r="B14" s="2" t="s">
        <v>747</v>
      </c>
      <c r="C14" s="2">
        <v>12</v>
      </c>
      <c r="D14" s="2">
        <v>0</v>
      </c>
      <c r="E14" s="2">
        <v>12</v>
      </c>
      <c r="F14" s="4" t="s">
        <v>734</v>
      </c>
    </row>
    <row r="15" spans="1:6" x14ac:dyDescent="0.25">
      <c r="A15" s="2" t="s">
        <v>748</v>
      </c>
      <c r="B15" s="2" t="s">
        <v>749</v>
      </c>
      <c r="C15" s="2">
        <v>1</v>
      </c>
      <c r="D15" s="2">
        <v>0</v>
      </c>
      <c r="E15" s="2">
        <v>1</v>
      </c>
      <c r="F15" s="4" t="s">
        <v>734</v>
      </c>
    </row>
    <row r="16" spans="1:6" x14ac:dyDescent="0.25">
      <c r="A16" s="2" t="s">
        <v>750</v>
      </c>
      <c r="B16" s="2" t="s">
        <v>751</v>
      </c>
      <c r="C16" s="2">
        <v>18</v>
      </c>
      <c r="D16" s="2">
        <v>0</v>
      </c>
      <c r="E16" s="2">
        <v>18</v>
      </c>
      <c r="F16" s="4" t="s">
        <v>734</v>
      </c>
    </row>
    <row r="17" spans="1:6" x14ac:dyDescent="0.25">
      <c r="A17" s="2" t="s">
        <v>752</v>
      </c>
      <c r="B17" s="2" t="s">
        <v>753</v>
      </c>
      <c r="C17" s="2">
        <v>1</v>
      </c>
      <c r="D17" s="2">
        <v>0</v>
      </c>
      <c r="E17" s="2">
        <v>1</v>
      </c>
      <c r="F17" s="4" t="s">
        <v>734</v>
      </c>
    </row>
    <row r="18" spans="1:6" x14ac:dyDescent="0.25">
      <c r="A18" s="2" t="s">
        <v>754</v>
      </c>
      <c r="B18" s="2" t="s">
        <v>755</v>
      </c>
      <c r="C18" s="2">
        <v>54</v>
      </c>
      <c r="D18" s="2">
        <v>0</v>
      </c>
      <c r="E18" s="2">
        <v>54</v>
      </c>
      <c r="F18" s="4" t="s">
        <v>734</v>
      </c>
    </row>
    <row r="19" spans="1:6" x14ac:dyDescent="0.25">
      <c r="A19" s="2" t="s">
        <v>756</v>
      </c>
      <c r="B19" s="2" t="s">
        <v>757</v>
      </c>
      <c r="C19" s="2">
        <v>2</v>
      </c>
      <c r="D19" s="2">
        <v>0</v>
      </c>
      <c r="E19" s="2">
        <v>2</v>
      </c>
      <c r="F19" s="4" t="s">
        <v>734</v>
      </c>
    </row>
    <row r="20" spans="1:6" x14ac:dyDescent="0.25">
      <c r="A20" s="2" t="s">
        <v>758</v>
      </c>
      <c r="B20" s="2" t="s">
        <v>759</v>
      </c>
      <c r="C20" s="3">
        <v>845.38</v>
      </c>
      <c r="D20" s="3">
        <v>0</v>
      </c>
      <c r="E20" s="3">
        <v>845.38</v>
      </c>
      <c r="F20" s="4" t="s">
        <v>734</v>
      </c>
    </row>
    <row r="21" spans="1:6" x14ac:dyDescent="0.25">
      <c r="A21" s="2" t="s">
        <v>760</v>
      </c>
      <c r="B21" s="2" t="s">
        <v>761</v>
      </c>
      <c r="C21" s="3">
        <v>0</v>
      </c>
      <c r="D21" s="3">
        <v>0</v>
      </c>
      <c r="E21" s="3">
        <v>0</v>
      </c>
      <c r="F21" s="13" t="s">
        <v>762</v>
      </c>
    </row>
    <row r="22" spans="1:6" x14ac:dyDescent="0.25"/>
    <row r="23" spans="1:6" x14ac:dyDescent="0.25">
      <c r="A23" s="8" t="s">
        <v>763</v>
      </c>
    </row>
    <row r="24" ht="24" customHeight="1" spans="1:6" x14ac:dyDescent="0.25">
      <c r="A24" s="1" t="s">
        <v>764</v>
      </c>
      <c r="B24" s="1" t="s">
        <v>765</v>
      </c>
      <c r="C24" s="1" t="s">
        <v>766</v>
      </c>
    </row>
    <row r="25" spans="1:6" x14ac:dyDescent="0.25">
      <c r="A25" s="2" t="s">
        <v>767</v>
      </c>
      <c r="B25" s="3">
        <v>913.69</v>
      </c>
      <c r="C25" s="2" t="s">
        <v>768</v>
      </c>
    </row>
    <row r="26" spans="1:6" x14ac:dyDescent="0.25">
      <c r="A26" s="2" t="s">
        <v>769</v>
      </c>
      <c r="B26" s="3">
        <v>0</v>
      </c>
      <c r="C26" s="2" t="s">
        <v>770</v>
      </c>
    </row>
    <row r="27" spans="1:6" x14ac:dyDescent="0.25">
      <c r="A27" s="2" t="s">
        <v>771</v>
      </c>
      <c r="B27" s="3">
        <v>332.33</v>
      </c>
      <c r="C27" s="2" t="s">
        <v>772</v>
      </c>
    </row>
    <row r="28" spans="1:6" x14ac:dyDescent="0.25"/>
    <row r="29" spans="1:6" x14ac:dyDescent="0.25">
      <c r="A29" s="8" t="s">
        <v>773</v>
      </c>
    </row>
    <row r="30" ht="24" customHeight="1" spans="1:6" x14ac:dyDescent="0.25">
      <c r="A30" s="1" t="s">
        <v>240</v>
      </c>
      <c r="B30" s="1" t="s">
        <v>241</v>
      </c>
      <c r="C30" s="1" t="s">
        <v>766</v>
      </c>
    </row>
    <row r="31" spans="1:6" x14ac:dyDescent="0.25">
      <c r="A31" s="2" t="s">
        <v>774</v>
      </c>
      <c r="B31" s="3">
        <v>32442.24</v>
      </c>
      <c r="C31" s="2" t="s">
        <v>775</v>
      </c>
    </row>
    <row r="32" spans="1:6" x14ac:dyDescent="0.25">
      <c r="A32" s="2" t="s">
        <v>776</v>
      </c>
      <c r="B32" s="3">
        <v>1291.54</v>
      </c>
      <c r="C32" s="2" t="s">
        <v>777</v>
      </c>
    </row>
    <row r="33" spans="1:6" x14ac:dyDescent="0.25">
      <c r="A33" s="2" t="s">
        <v>778</v>
      </c>
      <c r="B33" s="3">
        <v>1315.8</v>
      </c>
      <c r="C33" s="2" t="s">
        <v>777</v>
      </c>
    </row>
    <row r="34" spans="1:6" x14ac:dyDescent="0.25">
      <c r="A34" s="2" t="s">
        <v>779</v>
      </c>
      <c r="B34" s="3">
        <v>32417.98</v>
      </c>
      <c r="C34" s="2" t="s">
        <v>780</v>
      </c>
    </row>
    <row r="35" spans="1:6" x14ac:dyDescent="0.25">
      <c r="A35" s="2" t="s">
        <v>781</v>
      </c>
      <c r="B35" s="3">
        <v>32417.98</v>
      </c>
      <c r="C35" s="2" t="s">
        <v>775</v>
      </c>
    </row>
    <row r="36" spans="1:6" x14ac:dyDescent="0.25">
      <c r="A36" s="2" t="s">
        <v>782</v>
      </c>
      <c r="B36" s="3">
        <v>0</v>
      </c>
      <c r="C36" s="2" t="s">
        <v>783</v>
      </c>
    </row>
    <row r="37" spans="1:6" x14ac:dyDescent="0.25"/>
    <row r="38" spans="1:6" x14ac:dyDescent="0.25">
      <c r="A38" s="8" t="s">
        <v>784</v>
      </c>
    </row>
    <row r="39" ht="24" customHeight="1" spans="1:6" x14ac:dyDescent="0.25">
      <c r="A39" s="1" t="s">
        <v>240</v>
      </c>
      <c r="B39" s="1" t="s">
        <v>241</v>
      </c>
      <c r="C39" s="1" t="s">
        <v>766</v>
      </c>
    </row>
    <row r="40" spans="1:6" x14ac:dyDescent="0.25">
      <c r="A40" s="2" t="s">
        <v>785</v>
      </c>
      <c r="B40" s="3">
        <v>4597.66</v>
      </c>
      <c r="C40" s="2" t="s">
        <v>786</v>
      </c>
    </row>
    <row r="41" spans="1:6" x14ac:dyDescent="0.25"/>
    <row r="42" spans="1:6" x14ac:dyDescent="0.25">
      <c r="A42" s="14" t="s">
        <v>787</v>
      </c>
    </row>
    <row r="43" spans="1:6" x14ac:dyDescent="0.25">
      <c r="A43" t="s">
        <v>788</v>
      </c>
    </row>
    <row r="44" spans="1:6" x14ac:dyDescent="0.25">
      <c r="A44" t="s">
        <v>789</v>
      </c>
    </row>
    <row r="45" spans="1:6" x14ac:dyDescent="0.25">
      <c r="A45" t="s">
        <v>790</v>
      </c>
    </row>
    <row r="46" spans="1:6" x14ac:dyDescent="0.25">
      <c r="A46" t="s">
        <v>791</v>
      </c>
    </row>
    <row r="47" spans="1:6" x14ac:dyDescent="0.25">
      <c r="A47" t="s">
        <v>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Corrispettivi</vt:lpstr>
      <vt:lpstr>Acquisti</vt:lpstr>
      <vt:lpstr>Banca</vt:lpstr>
      <vt:lpstr>Liquidazione IVA</vt:lpstr>
      <vt:lpstr>Da chiarire</vt:lpstr>
      <vt:lpstr>Prima Nota (Master)</vt:lpstr>
      <vt:lpstr>Dettaglio Gateway Stripe</vt:lpstr>
      <vt:lpstr>Dettaglio Gateway PayPal</vt:lpstr>
      <vt:lpstr>Quadratura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FloreMoria</dc:creator>
  <dc:title/>
  <dc:subject/>
  <dc:description>dossier-fiscale-metodo-v1.24 · T2 2026</dc:description>
  <cp:keywords/>
  <cp:category/>
  <cp:lastModifiedBy>Unknown</cp:lastModifiedBy>
  <dcterms:created xsi:type="dcterms:W3CDTF">2026-09-17T15:48:58Z</dcterms:created>
  <dcterms:modified xsi:type="dcterms:W3CDTF">2026-09-17T15:48:58Z</dcterms:modified>
</cp:coreProperties>
</file>